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ЭтаКнига" defaultThemeVersion="124226"/>
  <bookViews>
    <workbookView xWindow="-105" yWindow="-105" windowWidth="23250" windowHeight="12450" tabRatio="516"/>
  </bookViews>
  <sheets>
    <sheet name="1" sheetId="36" r:id="rId1"/>
  </sheets>
  <calcPr calcId="144525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8" i="36" l="1"/>
  <c r="H400" i="36"/>
  <c r="H399" i="36"/>
  <c r="H401" i="36"/>
  <c r="H402" i="36"/>
  <c r="H403" i="36"/>
  <c r="H76" i="36"/>
  <c r="I307" i="36"/>
  <c r="I306" i="36"/>
  <c r="H306" i="36"/>
  <c r="H307" i="36"/>
  <c r="H75" i="36"/>
  <c r="H73" i="36"/>
  <c r="H74" i="36"/>
  <c r="H506" i="36" l="1"/>
  <c r="H505" i="36"/>
  <c r="H504" i="36"/>
  <c r="H503" i="36"/>
  <c r="H502" i="36"/>
  <c r="H501" i="36"/>
  <c r="H500" i="36"/>
  <c r="H499" i="36"/>
  <c r="H498" i="36"/>
  <c r="H497" i="36"/>
  <c r="H496" i="36"/>
  <c r="H495" i="36"/>
  <c r="H494" i="36"/>
  <c r="H493" i="36"/>
  <c r="H492" i="36"/>
  <c r="H491" i="36"/>
  <c r="H490" i="36"/>
  <c r="H489" i="36"/>
  <c r="H488" i="36"/>
  <c r="H487" i="36"/>
  <c r="H486" i="36"/>
  <c r="H485" i="36"/>
  <c r="H484" i="36"/>
  <c r="H483" i="36"/>
  <c r="H482" i="36"/>
  <c r="H481" i="36"/>
  <c r="H480" i="36"/>
  <c r="H479" i="36"/>
  <c r="H478" i="36"/>
  <c r="H477" i="36"/>
  <c r="H476" i="36"/>
  <c r="H475" i="36"/>
  <c r="H474" i="36"/>
  <c r="H473" i="36"/>
  <c r="H472" i="36"/>
  <c r="H471" i="36"/>
  <c r="H470" i="36"/>
  <c r="H469" i="36"/>
  <c r="H468" i="36"/>
  <c r="H467" i="36"/>
  <c r="H466" i="36"/>
  <c r="H465" i="36"/>
  <c r="H326" i="36" l="1"/>
  <c r="H162" i="36"/>
  <c r="H164" i="36"/>
  <c r="A261" i="36"/>
  <c r="A263" i="36"/>
  <c r="A265" i="36"/>
  <c r="H264" i="36"/>
  <c r="H45" i="36"/>
  <c r="H392" i="36"/>
  <c r="H395" i="36"/>
  <c r="H398" i="36"/>
  <c r="H394" i="36"/>
  <c r="H396" i="36"/>
  <c r="H397" i="36"/>
  <c r="H72" i="36"/>
  <c r="H26" i="36"/>
  <c r="H27" i="36"/>
  <c r="H28" i="36"/>
  <c r="H25" i="36"/>
  <c r="H284" i="36"/>
  <c r="H285" i="36"/>
  <c r="H286" i="36"/>
  <c r="H287" i="36"/>
  <c r="H288" i="36"/>
  <c r="H289" i="36"/>
  <c r="H44" i="36"/>
  <c r="H393" i="36"/>
  <c r="H299" i="36"/>
  <c r="H298" i="36"/>
  <c r="H303" i="36"/>
  <c r="H302" i="36"/>
  <c r="H279" i="36"/>
  <c r="I511" i="36"/>
  <c r="I509" i="36"/>
  <c r="I510" i="36"/>
  <c r="I508" i="36"/>
  <c r="H508" i="36"/>
  <c r="H509" i="36"/>
  <c r="H511" i="36"/>
  <c r="H510" i="36"/>
  <c r="H203" i="36"/>
  <c r="H120" i="36"/>
  <c r="H124" i="36"/>
  <c r="H121" i="36"/>
  <c r="H114" i="36"/>
  <c r="H113" i="36"/>
  <c r="H112" i="36"/>
  <c r="H141" i="36"/>
  <c r="H142" i="36"/>
  <c r="H165" i="36" l="1"/>
  <c r="H173" i="36"/>
  <c r="H172" i="36"/>
  <c r="H171" i="36"/>
  <c r="H434" i="36"/>
  <c r="H433" i="36"/>
  <c r="H432" i="36"/>
  <c r="H431" i="36"/>
  <c r="H430" i="36"/>
  <c r="H429" i="36"/>
  <c r="H428" i="36"/>
  <c r="H427" i="36"/>
  <c r="H426" i="36"/>
  <c r="H425" i="36"/>
  <c r="H424" i="36"/>
  <c r="H423" i="36"/>
  <c r="H422" i="36"/>
  <c r="H421" i="36"/>
  <c r="H420" i="36"/>
  <c r="H419" i="36"/>
  <c r="H418" i="36"/>
  <c r="H417" i="36"/>
  <c r="H416" i="36"/>
  <c r="H415" i="36"/>
  <c r="H414" i="36"/>
  <c r="H413" i="36"/>
  <c r="H412" i="36"/>
  <c r="H411" i="36"/>
  <c r="H410" i="36"/>
  <c r="H409" i="36"/>
  <c r="H408" i="36"/>
  <c r="H407" i="36"/>
  <c r="H406" i="36"/>
  <c r="H405" i="36"/>
  <c r="H110" i="36" l="1"/>
  <c r="H367" i="36"/>
  <c r="H437" i="36" l="1"/>
  <c r="H438" i="36"/>
  <c r="H16" i="36"/>
  <c r="H365" i="36" l="1"/>
  <c r="H32" i="36"/>
  <c r="H163" i="36"/>
  <c r="H140" i="36"/>
  <c r="I196" i="36"/>
  <c r="I195" i="36"/>
  <c r="I192" i="36"/>
  <c r="I193" i="36"/>
  <c r="I194" i="36"/>
  <c r="I191" i="36"/>
  <c r="H170" i="36"/>
  <c r="H324" i="36"/>
  <c r="H325" i="36"/>
  <c r="H137" i="36"/>
  <c r="H168" i="36"/>
  <c r="H169" i="36"/>
  <c r="H10" i="36"/>
  <c r="H9" i="36"/>
  <c r="H8" i="36"/>
  <c r="H7" i="36"/>
  <c r="H6" i="36"/>
  <c r="H448" i="36"/>
  <c r="H446" i="36"/>
  <c r="H290" i="36"/>
  <c r="H342" i="36"/>
  <c r="H256" i="36"/>
  <c r="I318" i="36"/>
  <c r="H318" i="36"/>
  <c r="H11" i="36" l="1"/>
  <c r="H356" i="36"/>
  <c r="I317" i="36"/>
  <c r="H317" i="36"/>
  <c r="I305" i="36"/>
  <c r="H305" i="36"/>
  <c r="H94" i="36" l="1"/>
  <c r="H93" i="36"/>
  <c r="H335" i="36"/>
  <c r="H167" i="36"/>
  <c r="H166" i="36"/>
  <c r="H161" i="36"/>
  <c r="H160" i="36"/>
  <c r="H272" i="36" l="1"/>
  <c r="H236" i="36"/>
  <c r="H91" i="36"/>
  <c r="H88" i="36"/>
  <c r="H89" i="36"/>
  <c r="H90" i="36"/>
  <c r="H71" i="36" l="1"/>
  <c r="H175" i="36"/>
  <c r="H176" i="36"/>
  <c r="H177" i="36"/>
  <c r="H178" i="36"/>
  <c r="H179" i="36"/>
  <c r="H180" i="36"/>
  <c r="H181" i="36"/>
  <c r="H182" i="36"/>
  <c r="H183" i="36"/>
  <c r="H184" i="36"/>
  <c r="H185" i="36"/>
  <c r="H186" i="36"/>
  <c r="H187" i="36"/>
  <c r="H188" i="36"/>
  <c r="H189" i="36"/>
  <c r="H174" i="36"/>
  <c r="H21" i="36" l="1"/>
  <c r="H20" i="36"/>
  <c r="H19" i="36"/>
  <c r="H18" i="36"/>
  <c r="H17" i="36"/>
  <c r="H15" i="36"/>
  <c r="H14" i="36"/>
  <c r="H13" i="36"/>
  <c r="H12" i="36"/>
  <c r="H5" i="36"/>
  <c r="H4" i="36"/>
  <c r="H343" i="36"/>
  <c r="H341" i="36"/>
  <c r="H340" i="36"/>
  <c r="H339" i="36"/>
  <c r="H338" i="36"/>
  <c r="H337" i="36"/>
  <c r="H336" i="36"/>
  <c r="H334" i="36"/>
  <c r="H333" i="36"/>
  <c r="H332" i="36"/>
  <c r="H331" i="36"/>
  <c r="H330" i="36"/>
  <c r="H329" i="36"/>
  <c r="H328" i="36"/>
  <c r="H213" i="36"/>
  <c r="H212" i="36"/>
  <c r="H211" i="36"/>
  <c r="H210" i="36"/>
  <c r="H209" i="36"/>
  <c r="H208" i="36"/>
  <c r="H80" i="36" l="1"/>
  <c r="H450" i="36" l="1"/>
  <c r="H451" i="36"/>
  <c r="H452" i="36"/>
  <c r="H453" i="36"/>
  <c r="H454" i="36"/>
  <c r="H455" i="36"/>
  <c r="H456" i="36"/>
  <c r="H457" i="36"/>
  <c r="H458" i="36"/>
  <c r="H459" i="36"/>
  <c r="H460" i="36"/>
  <c r="H461" i="36"/>
  <c r="H463" i="36" l="1"/>
  <c r="H462" i="36"/>
  <c r="H449" i="36"/>
  <c r="H362" i="36"/>
  <c r="H363" i="36"/>
  <c r="H196" i="36" l="1"/>
  <c r="H195" i="36"/>
  <c r="H194" i="36"/>
  <c r="H193" i="36"/>
  <c r="H192" i="36"/>
  <c r="H191" i="36"/>
  <c r="H79" i="36" l="1"/>
  <c r="H78" i="36"/>
  <c r="H35" i="36"/>
  <c r="H296" i="36" l="1"/>
  <c r="H87" i="36" l="1"/>
  <c r="H86" i="36"/>
  <c r="H85" i="36"/>
  <c r="H84" i="36"/>
  <c r="H83" i="36"/>
  <c r="H38" i="36"/>
  <c r="H37" i="36"/>
  <c r="H151" i="36"/>
  <c r="H152" i="36"/>
  <c r="H153" i="36"/>
  <c r="H154" i="36"/>
  <c r="H155" i="36"/>
  <c r="H156" i="36"/>
  <c r="H157" i="36"/>
  <c r="H158" i="36"/>
  <c r="H150" i="36" l="1"/>
  <c r="H138" i="36" l="1"/>
  <c r="H139" i="36"/>
  <c r="H143" i="36"/>
  <c r="H144" i="36"/>
  <c r="H145" i="36"/>
  <c r="H146" i="36"/>
  <c r="H147" i="36"/>
  <c r="H148" i="36"/>
  <c r="H149" i="36"/>
  <c r="H70" i="36"/>
  <c r="H357" i="36"/>
  <c r="H391" i="36"/>
  <c r="H390" i="36"/>
  <c r="H389" i="36"/>
  <c r="H388" i="36"/>
  <c r="H387" i="36"/>
  <c r="H386" i="36"/>
  <c r="H385" i="36"/>
  <c r="H384" i="36"/>
  <c r="H383" i="36"/>
  <c r="H382" i="36"/>
  <c r="H381" i="36"/>
  <c r="H380" i="36"/>
  <c r="H379" i="36"/>
  <c r="H378" i="36"/>
  <c r="H377" i="36"/>
  <c r="H376" i="36"/>
  <c r="H375" i="36"/>
  <c r="H374" i="36"/>
  <c r="H373" i="36"/>
  <c r="H372" i="36"/>
  <c r="H371" i="36"/>
  <c r="H370" i="36"/>
  <c r="H445" i="36"/>
  <c r="H444" i="36"/>
  <c r="H443" i="36"/>
  <c r="H442" i="36"/>
  <c r="H441" i="36"/>
  <c r="H440" i="36"/>
  <c r="H355" i="36"/>
  <c r="H136" i="36" l="1"/>
  <c r="H135" i="36"/>
  <c r="H134" i="36"/>
  <c r="H133" i="36"/>
  <c r="H132" i="36"/>
  <c r="H131" i="36"/>
  <c r="H130" i="36"/>
  <c r="H128" i="36"/>
  <c r="H126" i="36"/>
  <c r="H122" i="36"/>
  <c r="H129" i="36"/>
  <c r="H127" i="36"/>
  <c r="H125" i="36"/>
  <c r="H123" i="36"/>
  <c r="H119" i="36"/>
  <c r="H118" i="36"/>
  <c r="H117" i="36"/>
  <c r="H116" i="36"/>
  <c r="H115" i="36"/>
  <c r="H111" i="36"/>
  <c r="H109" i="36"/>
  <c r="H108" i="36"/>
  <c r="H107" i="36"/>
  <c r="H106" i="36"/>
  <c r="H323" i="36" l="1"/>
  <c r="H255" i="36" l="1"/>
  <c r="H354" i="36" l="1"/>
  <c r="H353" i="36" l="1"/>
  <c r="H277" i="36" l="1"/>
  <c r="H278" i="36"/>
  <c r="H280" i="36"/>
  <c r="H281" i="36"/>
  <c r="H56" i="36" l="1"/>
  <c r="H55" i="36"/>
  <c r="H65" i="36" l="1"/>
  <c r="H64" i="36"/>
  <c r="H67" i="36" l="1"/>
  <c r="H59" i="36"/>
  <c r="H58" i="36"/>
  <c r="H51" i="36"/>
  <c r="H52" i="36"/>
  <c r="H53" i="36"/>
  <c r="H54" i="36"/>
  <c r="H57" i="36"/>
  <c r="H60" i="36"/>
  <c r="H61" i="36"/>
  <c r="H62" i="36"/>
  <c r="H63" i="36"/>
  <c r="H66" i="36"/>
  <c r="H50" i="36"/>
  <c r="H49" i="36"/>
  <c r="H48" i="36"/>
  <c r="H47" i="36"/>
  <c r="H46" i="36"/>
  <c r="H68" i="36"/>
  <c r="H69" i="36"/>
  <c r="H206" i="36" l="1"/>
  <c r="H235" i="36"/>
  <c r="H237" i="36"/>
  <c r="H238" i="36"/>
  <c r="H239" i="36"/>
  <c r="H360" i="36"/>
  <c r="H349" i="36" l="1"/>
  <c r="H252" i="36" l="1"/>
  <c r="H270" i="36"/>
  <c r="H268" i="36" l="1"/>
  <c r="H225" i="36" l="1"/>
  <c r="H220" i="36" l="1"/>
  <c r="H366" i="36" l="1"/>
  <c r="H297" i="36" l="1"/>
  <c r="H300" i="36"/>
  <c r="H301" i="36"/>
  <c r="H304" i="36"/>
  <c r="H23" i="36" l="1"/>
  <c r="H346" i="36" l="1"/>
  <c r="H364" i="36" l="1"/>
  <c r="H198" i="36" l="1"/>
  <c r="H276" i="36" l="1"/>
  <c r="H345" i="36" l="1"/>
  <c r="H102" i="36" l="1"/>
  <c r="H103" i="36"/>
  <c r="H104" i="36"/>
  <c r="H99" i="36"/>
  <c r="H98" i="36"/>
  <c r="H207" i="36" l="1"/>
  <c r="H253" i="36" l="1"/>
  <c r="H254" i="36"/>
  <c r="H283" i="36" l="1"/>
  <c r="H215" i="36" l="1"/>
  <c r="H43" i="36" l="1"/>
  <c r="H246" i="36" l="1"/>
  <c r="H271" i="36" l="1"/>
  <c r="H269" i="36"/>
  <c r="H251" i="36" l="1"/>
  <c r="H250" i="36" l="1"/>
  <c r="H31" i="36" l="1"/>
  <c r="H33" i="36"/>
  <c r="H34" i="36"/>
  <c r="H42" i="36"/>
  <c r="H82" i="36"/>
  <c r="H96" i="36"/>
  <c r="H97" i="36"/>
  <c r="H100" i="36"/>
  <c r="H101" i="36"/>
  <c r="H199" i="36"/>
  <c r="H200" i="36"/>
  <c r="H201" i="36"/>
  <c r="H202" i="36"/>
  <c r="H204" i="36"/>
  <c r="H205" i="36"/>
  <c r="H216" i="36"/>
  <c r="H217" i="36"/>
  <c r="H219" i="36"/>
  <c r="H221" i="36"/>
  <c r="H222" i="36"/>
  <c r="H223" i="36"/>
  <c r="H224" i="36"/>
  <c r="H226" i="36"/>
  <c r="H227" i="36"/>
  <c r="H228" i="36"/>
  <c r="H229" i="36"/>
  <c r="H230" i="36"/>
  <c r="H232" i="36"/>
  <c r="H233" i="36"/>
  <c r="H234" i="36"/>
  <c r="H240" i="36"/>
  <c r="H241" i="36"/>
  <c r="H242" i="36"/>
  <c r="H243" i="36"/>
  <c r="H244" i="36"/>
  <c r="H245" i="36"/>
  <c r="H247" i="36"/>
  <c r="H248" i="36"/>
  <c r="H249" i="36"/>
  <c r="H258" i="36"/>
  <c r="A259" i="36"/>
  <c r="H259" i="36"/>
  <c r="H260" i="36"/>
  <c r="H261" i="36"/>
  <c r="H262" i="36"/>
  <c r="H263" i="36"/>
  <c r="H265" i="36"/>
  <c r="H267" i="36"/>
  <c r="H273" i="36"/>
  <c r="H274" i="36"/>
  <c r="H275" i="36"/>
  <c r="H282" i="36"/>
  <c r="H291" i="36"/>
  <c r="H292" i="36"/>
  <c r="H293" i="36"/>
  <c r="H294" i="36"/>
  <c r="H295" i="36"/>
  <c r="H309" i="36"/>
  <c r="A310" i="36"/>
  <c r="A311" i="36" s="1"/>
  <c r="A312" i="36" s="1"/>
  <c r="A313" i="36" s="1"/>
  <c r="A314" i="36" s="1"/>
  <c r="A315" i="36" s="1"/>
  <c r="A316" i="36" s="1"/>
  <c r="A317" i="36" s="1"/>
  <c r="A318" i="36" s="1"/>
  <c r="H310" i="36"/>
  <c r="H311" i="36"/>
  <c r="H312" i="36"/>
  <c r="H313" i="36"/>
  <c r="H314" i="36"/>
  <c r="H315" i="36"/>
  <c r="H316" i="36"/>
  <c r="H320" i="36"/>
  <c r="A321" i="36"/>
  <c r="H321" i="36"/>
  <c r="H322" i="36"/>
  <c r="H348" i="36"/>
  <c r="H359" i="36"/>
  <c r="H361" i="36"/>
  <c r="H436" i="36"/>
  <c r="H30" i="36"/>
  <c r="H40" i="36" l="1"/>
</calcChain>
</file>

<file path=xl/sharedStrings.xml><?xml version="1.0" encoding="utf-8"?>
<sst xmlns="http://schemas.openxmlformats.org/spreadsheetml/2006/main" count="1524" uniqueCount="649">
  <si>
    <t>№ п/п</t>
  </si>
  <si>
    <t>Наименование</t>
  </si>
  <si>
    <t>Цена с НДС</t>
  </si>
  <si>
    <t>Цена без НДС</t>
  </si>
  <si>
    <t>НДС</t>
  </si>
  <si>
    <t>Маслины и Оливки</t>
  </si>
  <si>
    <t>Фруктовая консервация</t>
  </si>
  <si>
    <t>Перец  консервированный</t>
  </si>
  <si>
    <t>Огурцы и корнишоны консервированные, Германия</t>
  </si>
  <si>
    <t>Сыр</t>
  </si>
  <si>
    <t>Огурцы "Wasta" 55/60 ж/б 9,7/ 5,6кг.</t>
  </si>
  <si>
    <t xml:space="preserve">Огурцы "Wasta" 100/110 ж/б  9,7/ 5,6кг. </t>
  </si>
  <si>
    <t xml:space="preserve">Огурцы "Wasta" 6-9 см Отборные  670/360 гр </t>
  </si>
  <si>
    <t xml:space="preserve">Огурцы "Wasta" 6-9 см Отборные   ж/б  9,7/ 5,6кг. </t>
  </si>
  <si>
    <t xml:space="preserve">Корнишоны "Wasta" ж/б  4,0/2,2 кг </t>
  </si>
  <si>
    <t>Россия</t>
  </si>
  <si>
    <t>Италия</t>
  </si>
  <si>
    <t>РБ</t>
  </si>
  <si>
    <t>Испания</t>
  </si>
  <si>
    <t>Германия</t>
  </si>
  <si>
    <t>Китай</t>
  </si>
  <si>
    <t>Тайланд</t>
  </si>
  <si>
    <t>Турция</t>
  </si>
  <si>
    <t>пл бут.</t>
  </si>
  <si>
    <t>пл. бут.</t>
  </si>
  <si>
    <t>ст. бан.</t>
  </si>
  <si>
    <t>ж. бан.</t>
  </si>
  <si>
    <t>ж. бан</t>
  </si>
  <si>
    <t>Артишок в масле целые 1550/992  гр</t>
  </si>
  <si>
    <t>Томаты вяленные на солнце в масле "Citres" 290/170 гр</t>
  </si>
  <si>
    <t>Артишок в масле целые 290/160  гр</t>
  </si>
  <si>
    <t>Артишок в масле четвертинки 290/160 гр</t>
  </si>
  <si>
    <t>Артишоки</t>
  </si>
  <si>
    <t>Каперсы</t>
  </si>
  <si>
    <t>Марокко</t>
  </si>
  <si>
    <t>пл. в-ро</t>
  </si>
  <si>
    <t>Перец пеперони острый "Citres", 260/140г</t>
  </si>
  <si>
    <t>Оливки на гриле в масле "Citres", 230/120г</t>
  </si>
  <si>
    <t>Оливки черные  в масле с чили перцем "Citres", 290/150г</t>
  </si>
  <si>
    <t>Помидоры черри вяленные на солнце в масле "Citres", 200/100г</t>
  </si>
  <si>
    <t>ст/бут</t>
  </si>
  <si>
    <t>ж/б</t>
  </si>
  <si>
    <t>мешок</t>
  </si>
  <si>
    <t>ст.бут</t>
  </si>
  <si>
    <t>Канада</t>
  </si>
  <si>
    <t>Египет</t>
  </si>
  <si>
    <t>Уксус, крем (бальзамический, винный) Италия Модена</t>
  </si>
  <si>
    <t>пл/бут</t>
  </si>
  <si>
    <t>Кетчуп  томатный "Pomi",  пастеризованный 560 гр</t>
  </si>
  <si>
    <t>пакет</t>
  </si>
  <si>
    <t>к/кар</t>
  </si>
  <si>
    <t>Трюфеля и паста из трюфеля</t>
  </si>
  <si>
    <t>Паста "TARTUFI JIMMY" из трюфеля, 90г</t>
  </si>
  <si>
    <t>Паста "TARTUFI JIMMY" из белого трюфеля и белых грибов, 90г</t>
  </si>
  <si>
    <t>Масло оливковое  и растительные масла</t>
  </si>
  <si>
    <t>Масло авокадо "Mantova", 200мл</t>
  </si>
  <si>
    <t>Масло кокосовое "Mantova", 200мл</t>
  </si>
  <si>
    <t>ж./бал.</t>
  </si>
  <si>
    <t>Крем из артишоков"Citres", пастеризованный 200 гр</t>
  </si>
  <si>
    <t>Дополнительно</t>
  </si>
  <si>
    <t>ЮАР</t>
  </si>
  <si>
    <t>Оливки с кост. по бабушкиному рецепту  "Jose Lou" 4,1/2,5 кг</t>
  </si>
  <si>
    <t>Сливки для взбивания(кондитерские с сахаром) растительные</t>
  </si>
  <si>
    <t>Сливки для соуса(кулинарные без сахара) растительные</t>
  </si>
  <si>
    <t>Сливки животные, МОЛОКО</t>
  </si>
  <si>
    <t xml:space="preserve">Масло оливковое рафинированное с добав. масла оливкового нераф. "Mueloliva" ,1л </t>
  </si>
  <si>
    <t>Оливки зеленые на кости крупные "Citres" 2300/1400 гр</t>
  </si>
  <si>
    <t>Оливки зеленые большие c/к  "Citres" 290/160гр</t>
  </si>
  <si>
    <t>Паста томатная "Pomi"  28/30%,  800г</t>
  </si>
  <si>
    <t>Растения, грибы, специи</t>
  </si>
  <si>
    <t>Артишоки в масле  с хвостиком "Citres Chef"  1550/990г</t>
  </si>
  <si>
    <t>Крем из артишоков "Citres", пастеризованный, 970г</t>
  </si>
  <si>
    <t>6*</t>
  </si>
  <si>
    <t>1*</t>
  </si>
  <si>
    <t>Соус песто "Citres"  200 гр</t>
  </si>
  <si>
    <t>Соус песто "Citres"  1000 гр</t>
  </si>
  <si>
    <t>Брускетта "Citres"  200 гр</t>
  </si>
  <si>
    <t>Оливки зеленые с косточкой  "Jose Lou" Chupadedos, 4,0/2,5кг</t>
  </si>
  <si>
    <t>Палочки деревянные круглые для еды  1уп/100 пар</t>
  </si>
  <si>
    <t>Португалия</t>
  </si>
  <si>
    <t>пл.пакет</t>
  </si>
  <si>
    <t>Томатная основа для пиццы " Campino" ,14/16 %, 3 кг (концентрат)</t>
  </si>
  <si>
    <t>Томаты вяленные на солнце  в масле "Sardes", 2500/1550г</t>
  </si>
  <si>
    <t>РФ</t>
  </si>
  <si>
    <t>Греция</t>
  </si>
  <si>
    <t>Сыр творожный ТМ "Савушкин HoReCa", 65%, 2,4кг</t>
  </si>
  <si>
    <t>Каперсы маринованные "Vitaly's" 950|600 гр</t>
  </si>
  <si>
    <t>Томаты вяленные на солнце в масле резаные  "Citres" 290/170 гр</t>
  </si>
  <si>
    <t>Томаты вяленные на солнце в масле  "Citres" 980/570 гр</t>
  </si>
  <si>
    <t>Крем на растительных маслах  "DALLY", 20%ж., 1л.</t>
  </si>
  <si>
    <t>Персики половинки в сиропе "Sunfeel", 820/460г</t>
  </si>
  <si>
    <t>Ассорти из маринованных грибов "Sunfeel", 280/170г</t>
  </si>
  <si>
    <t>Оливки зеленые  крупные гордаль без косточки "Jose Lou",  4,3/2,2кг</t>
  </si>
  <si>
    <t>Сливки  "Чудское озеро"  22%ж., 1л</t>
  </si>
  <si>
    <t>Мука ДРОЖЖИ</t>
  </si>
  <si>
    <t>Дрожжи хлебопекарные сухие инстантные "Nevada",500г</t>
  </si>
  <si>
    <t>Перец халапеньо  резаный "ATHENA", 3,1/1,5кг</t>
  </si>
  <si>
    <t>Каперсы маринованные "Vitaly's"  100|60 гр</t>
  </si>
  <si>
    <t>Шампиньоны резаные "Sunfeel", 400/200г</t>
  </si>
  <si>
    <t>Початки кукурузы "Sunfeel", 340/190г</t>
  </si>
  <si>
    <t>Кукуруза сахарная в зернах "Sunfeel", 340/272г</t>
  </si>
  <si>
    <t>Паста "TARTUFI JIMMY" из трюфеля, 500г</t>
  </si>
  <si>
    <t>стекло</t>
  </si>
  <si>
    <t>Соус "Carandini" с добавлением  бальзамического уксуса Модены со вкусом и ароматом лесных ягод, 250м</t>
  </si>
  <si>
    <t>Топинги/Сиропы/</t>
  </si>
  <si>
    <t>ст. бан</t>
  </si>
  <si>
    <t>Смесь Темпура панировочная "Tamaki",  1 кг</t>
  </si>
  <si>
    <t>Соус Шрирача "Uni-Eagle", 475г</t>
  </si>
  <si>
    <t>Мучная продукция, Макаронные изделия</t>
  </si>
  <si>
    <t>Фасоль белая в томатном соусе "SUNFEEL" 425мл</t>
  </si>
  <si>
    <t>Фасоль белая  "SUNFEEL", 425мл</t>
  </si>
  <si>
    <t>Кокосовое молоко  "SUNFEEL" 17-19%  400 г</t>
  </si>
  <si>
    <t>США</t>
  </si>
  <si>
    <t>Оливки сицилийские Ночеллара, 1016/600г</t>
  </si>
  <si>
    <t>Оливки зеленые без косточки   "ATHENA", 3,1/1,56кг</t>
  </si>
  <si>
    <t xml:space="preserve">Соус кунжутный на основе растительных масел, 1,0 л Tamaki </t>
  </si>
  <si>
    <t>Перец халапеньо "ATHENA" резаный, 350/180г</t>
  </si>
  <si>
    <t>Соус "Glassa" с доб. бальзам.уксуса Модены 500мл</t>
  </si>
  <si>
    <t>Персики половинки в сиропе "Sunfeel", 580мл / 320гр</t>
  </si>
  <si>
    <t>Масло кокосовое "Mantova", 250мл</t>
  </si>
  <si>
    <t>Масло авокадо "Mantova", 250мл</t>
  </si>
  <si>
    <t>Перец желтый целый  для фаршировки 3/1,2 кг</t>
  </si>
  <si>
    <t>Страна</t>
  </si>
  <si>
    <t>Упаковка</t>
  </si>
  <si>
    <t>Уксус рисовый "Yakimal", 20л</t>
  </si>
  <si>
    <t>Соус соевый "Yakimal", 20л</t>
  </si>
  <si>
    <t>Соус рисовый Мирин сладкий "Yakimal", 18л</t>
  </si>
  <si>
    <t>Соус сладкий чили для курицы "Yakimal", 1.8л</t>
  </si>
  <si>
    <t>Лук жареный во фритюре "Yakimal", 1кг</t>
  </si>
  <si>
    <t xml:space="preserve">Горошек зеленый высший сорт "Sunfeel" 400/240гр </t>
  </si>
  <si>
    <t>Соус Шрирача "Uni-Eagle", 815г</t>
  </si>
  <si>
    <t>Сухари панировочные панко, "Yakimal",  1 кг</t>
  </si>
  <si>
    <t>Молоко питьевое ультрапастеризованное  "Чудское озеро" 3,2%ж., 1л.</t>
  </si>
  <si>
    <t>Соус "Табаско" перечный Чипотле, 60мл</t>
  </si>
  <si>
    <t>Соус "Табаско" перечный Хабанеро, 60мл</t>
  </si>
  <si>
    <t>Соус "Табаско" перечный красный 60 мл</t>
  </si>
  <si>
    <t>Соус "Табаско" перечный зеленый 60 мл</t>
  </si>
  <si>
    <t>Соус "Табаско" перечный красный 150 мл</t>
  </si>
  <si>
    <t>Дрожжи хлебопекарные сухие инстантные "Angel",100г</t>
  </si>
  <si>
    <t>Дрожжи Саф-Инстант 125 г</t>
  </si>
  <si>
    <t>Маслины Каламата без кости DELPHI 201-230, 3/1,56кг</t>
  </si>
  <si>
    <t>Соус Барбекю  "Yakimal", 1,8л/2,125кг</t>
  </si>
  <si>
    <t>Сок лимонный заправка DELPHI 340 мл</t>
  </si>
  <si>
    <t>Сок лимонный концентрированный DELPHI 380 мл</t>
  </si>
  <si>
    <t>Оливки с косточкой сушеные "Фурнистес" в оливковом масле,"Lelia" 2580/2500г</t>
  </si>
  <si>
    <t>Кетчуп томатный Heinz, 800г</t>
  </si>
  <si>
    <t>Плоды каперсов "Vitaly's"  маринованные, 350/180г</t>
  </si>
  <si>
    <t>Оливки зеленые  без косточки  71/90 DIMITRA, 4,68/2кг</t>
  </si>
  <si>
    <t>Оливки каламата с косточкой  соленые DIMITRA,141/160  5/3 кг</t>
  </si>
  <si>
    <t>ПЭТ</t>
  </si>
  <si>
    <t>Перец пеперони соленый DIMITRA, 10/6кг</t>
  </si>
  <si>
    <t>Мука пшеничная в/с М54-28, 2кг  Цена за пакет</t>
  </si>
  <si>
    <t>Сливки питьевые ультрапастеризованные (порционные) мдж 10% 10*10г 1/20</t>
  </si>
  <si>
    <t>Соус Унаги "Yakimal", 1,8л.</t>
  </si>
  <si>
    <t>Вьетнам</t>
  </si>
  <si>
    <t>Уксус винный белый "Varvello", 6%, 500мл</t>
  </si>
  <si>
    <t>Соус бальзамический IGP "Varvello", 250мл/300г</t>
  </si>
  <si>
    <t>Соус бальзамический с ароматом трюфеля IGP "Varvello", 250мл/300г</t>
  </si>
  <si>
    <t>Соус бальзамический с ароматом инжира IGP "Varvello", 500мл/600г</t>
  </si>
  <si>
    <t>Мука для классической и неаполетанской пиццы Viva Maestro 20кг мешок</t>
  </si>
  <si>
    <t>Огурцы РЕЗАНЫЕ  "WASTA" 55/60  9,7/ 6,0  кг</t>
  </si>
  <si>
    <t>Свекла столовая резанная полосками  "Eggerstorfer"   4,0/2,55 кг</t>
  </si>
  <si>
    <t>Бульон куриный ТМ "Yakimal", 2 кг</t>
  </si>
  <si>
    <t>Бульон</t>
  </si>
  <si>
    <t>пл.ведро</t>
  </si>
  <si>
    <t>Томаты Черри мар. Sunfeel 720мл</t>
  </si>
  <si>
    <t>Лапша пшеничная удон "Yakimal",  3кг</t>
  </si>
  <si>
    <t>Уксус бальзамический IGP "Varvello",6%,  500мл</t>
  </si>
  <si>
    <t>Бульон овощной ТМ "Yakimal", 2кг</t>
  </si>
  <si>
    <t>Соус рыбный ТМ "Yakimal", 1 л</t>
  </si>
  <si>
    <t>Соус Устричный СП ТМ "Yakimal", 1,8л/2,125кг</t>
  </si>
  <si>
    <t>Уксус винный белый "Varvello" 6%, 1л</t>
  </si>
  <si>
    <t>блок</t>
  </si>
  <si>
    <t>МАСЛО СЛИВОЧНОЕ</t>
  </si>
  <si>
    <t>Томатная основа для пиццы Pizza sauce "SICA", 4100г</t>
  </si>
  <si>
    <t>Томаты измельченные "SICA", 4050г</t>
  </si>
  <si>
    <t>Томаты целые очищенные "SICA", 2500/1850г</t>
  </si>
  <si>
    <t>Томаты протертые "SICA", 2500г</t>
  </si>
  <si>
    <t>Лапша гречневая соба "Imperial cuisine",400г</t>
  </si>
  <si>
    <t>Соус соевый "Yakimal", 1л</t>
  </si>
  <si>
    <t>Свекла столовая резанная полосками  "WASTA"   4,0/2,55 кг</t>
  </si>
  <si>
    <t>Соус Терияки "Tamaki" Pro, 1,5 л</t>
  </si>
  <si>
    <t>Масло оливковое "Mueloliva" (Extra virgin)  нераф, 1л</t>
  </si>
  <si>
    <t>Масло оливковое "Mueloliva" (Extra virgin)  нераф, 1л (ПЭТ бутылка)</t>
  </si>
  <si>
    <t>Масло оливковое "Mueloliva" (Extra virgin)  нераф, 500мл</t>
  </si>
  <si>
    <t>Томатная основа для пиццы " Pampilho" ,12/14 %, 3 кг</t>
  </si>
  <si>
    <t>короб</t>
  </si>
  <si>
    <t>Сок лимонный концентрированный DELPHI, 4000 мл</t>
  </si>
  <si>
    <t>Опята целые маринованные "Sunfeel", 530/315г</t>
  </si>
  <si>
    <t>Маслины Каламата с костью DELPHI 201-230, 3/1.75кг</t>
  </si>
  <si>
    <t>Соус Кимчи "Tamaki" Pro, 1,5 л</t>
  </si>
  <si>
    <t>Язык говяжий зам.</t>
  </si>
  <si>
    <t>Оливки черные вяленные с/к "Citres" 190гр</t>
  </si>
  <si>
    <t>Оливки зеленые без косточки, "ATHENA", 360/180г</t>
  </si>
  <si>
    <t>Оливки черные без косточки, "ATHENA", 360/180г</t>
  </si>
  <si>
    <t>Оливки зеленые без косточки, "ATHENA", 3100/1500г,  ПЭТ</t>
  </si>
  <si>
    <t>Перец халапеньо  резаный "ATHENA", 3100/1500г, ПЭТ</t>
  </si>
  <si>
    <t>Сухари панировочные панко, "Tamaki",  1 кг</t>
  </si>
  <si>
    <t>Томаты, Паста томатная, Пицца Соусы, Вяленные томаты, Сок</t>
  </si>
  <si>
    <t>Сок томатный с мякотью "Pomi" прямого отжима пастеризованный, 750мл</t>
  </si>
  <si>
    <t>Десерт персиковый Delphi 360 г</t>
  </si>
  <si>
    <t>Грузия</t>
  </si>
  <si>
    <t>Соус томатный "Pomito" для пиццы и пасты, пастеризованный 500 гр</t>
  </si>
  <si>
    <t>Приправа овощная "Pomi" с оливками для пасты, пастеризованная 400 гр</t>
  </si>
  <si>
    <t>Приправа овощная "Pomi" острая для пасты, пастеризованная 400 гр</t>
  </si>
  <si>
    <t>Приправа овощная Pomi "Наполетана" для пасты , пастеризованные, 400г</t>
  </si>
  <si>
    <t>Приправа овощная "Pomi" с базиликом для пасты, пастеризованная 400 гр</t>
  </si>
  <si>
    <t>Паста томатная "Pomi" 28/30 %  200 г</t>
  </si>
  <si>
    <t>Тюбик</t>
  </si>
  <si>
    <t>Кетчуп острый "MADLI", 270г</t>
  </si>
  <si>
    <t>Кетчуп классический из свежих помидоров "MADLI", 270г</t>
  </si>
  <si>
    <t>Соус чили томатный "MADLI", 270г</t>
  </si>
  <si>
    <t>Аджика абхазская приправа острая "MALDI" 120 г</t>
  </si>
  <si>
    <t>Аджика зеленая острая "MADLI" 120 г</t>
  </si>
  <si>
    <t>Аджика по-грузински  "MALDI" 270 г</t>
  </si>
  <si>
    <t>Аджика сухая, приправа острая 130 г</t>
  </si>
  <si>
    <t>Наршараб соус гранатовый "MADLI" 350 г</t>
  </si>
  <si>
    <t>Наршараб соус гранатовый (без добавления сахара) "MADLI"  350 г</t>
  </si>
  <si>
    <t>Соус томатный Cацебели шашлычный  MADLI, 270г</t>
  </si>
  <si>
    <t>Соус томатный  Cацебели классический  остро-сладкий  MALDI 270 г</t>
  </si>
  <si>
    <t>Соус томатный Сацебели охотничий MADLI 270 г</t>
  </si>
  <si>
    <t>Cоус Ткемали ежевичный "MADLI" 270 г</t>
  </si>
  <si>
    <t>Cоус Ткемали классический "MADLI" 270 г</t>
  </si>
  <si>
    <t>Cоус Ткемали царский "MADLI" 270 г</t>
  </si>
  <si>
    <t>Соус Ткемали дамский MADLI, 270г</t>
  </si>
  <si>
    <t>Соль Сванская острая "остро-пряная"MADLI, 200г</t>
  </si>
  <si>
    <t>Соль Сванская классическая остро-пряная MADLI, 200г</t>
  </si>
  <si>
    <t>Томаты протертые "Pomi", пастеризованные 200 гр</t>
  </si>
  <si>
    <t>Томаты протертые "Pomi", пастеризованные 500 гр</t>
  </si>
  <si>
    <t>Томаты дробленые "Pomi", пастеризованные 500 гр</t>
  </si>
  <si>
    <t>Томаты протертые "Pomi", пастеризованные  700 гр</t>
  </si>
  <si>
    <t>Овощная консервация</t>
  </si>
  <si>
    <t>Азиатская кухня Соусы, уксусы, пасты</t>
  </si>
  <si>
    <t xml:space="preserve">Паста "TARTUFI JIMMY" из трюфеля,  15%, 90г </t>
  </si>
  <si>
    <t>Масло оливк Extra virgin нераф. с аром розмарина "Mantova", 250мл</t>
  </si>
  <si>
    <t>Масло оливк Extra virgin нераф. с аром базилика "Mantova", 250мл</t>
  </si>
  <si>
    <t>Масло оливк Extra virgin нераф. с аром лимона "Mantova", 250мл</t>
  </si>
  <si>
    <t>Масло оливк Extra virgin нераф.  "Mantova", 200мл</t>
  </si>
  <si>
    <t>Масло оливк Extra virgin нераф. с аром розмарина "Mantova", 200мл</t>
  </si>
  <si>
    <t>Масло оливк Extra virgin нераф. с аром базилика "Mantova", 200мл</t>
  </si>
  <si>
    <t>Масло оливк Extra virgin нераф. с аром лимона "Mantova", 200мл</t>
  </si>
  <si>
    <t>лоток</t>
  </si>
  <si>
    <t>Грибное ассорти в масле  "Citres" пастеризованное  290/200г</t>
  </si>
  <si>
    <t>Чипсы</t>
  </si>
  <si>
    <t>Чипсы картофельные со вкусом томата 50 гр.</t>
  </si>
  <si>
    <t>Чипсы картофельные со вкусом паприки 50 гр.</t>
  </si>
  <si>
    <t>Чипсы картофельные со вкусом лайма и розового перца 50 гр.</t>
  </si>
  <si>
    <t>Чипсы картофельные со вкусом песто 50 гр.</t>
  </si>
  <si>
    <t>Чипсы картофельные классические 180 гр.</t>
  </si>
  <si>
    <t>Чипсы картофельные рифленые классические 180 гр.</t>
  </si>
  <si>
    <t>п/акк.</t>
  </si>
  <si>
    <t>сашет</t>
  </si>
  <si>
    <t>Водоросли сушеные "ВАКАМЕ", 500г</t>
  </si>
  <si>
    <t>Горчица классическая мягкая CONDITO 300 г</t>
  </si>
  <si>
    <t>ШК</t>
  </si>
  <si>
    <t>4640005504484</t>
  </si>
  <si>
    <t>4640005504453</t>
  </si>
  <si>
    <t>4640005504163</t>
  </si>
  <si>
    <t>4640005505825</t>
  </si>
  <si>
    <t>4640005504187</t>
  </si>
  <si>
    <t>4640005504194</t>
  </si>
  <si>
    <t>4640005505788</t>
  </si>
  <si>
    <t>4640005505818</t>
  </si>
  <si>
    <t>4640005504217</t>
  </si>
  <si>
    <t>Кленовый сироп "Smokey kettle", 250 гр/189 мл.</t>
  </si>
  <si>
    <t xml:space="preserve">Масло кукурузное раф.дез. "Кубаночка", 0,5л/460г </t>
  </si>
  <si>
    <t>4607029053879</t>
  </si>
  <si>
    <t>пл/пакет</t>
  </si>
  <si>
    <t>Мякоть бедра ИНДЕЙКИ "Дзержинка", зам.лоток</t>
  </si>
  <si>
    <t>Длиннейшая мышца говяжья</t>
  </si>
  <si>
    <t>Масло из зародышей кукурузы "Радость труда"  нерафинированное, 250 мл</t>
  </si>
  <si>
    <t xml:space="preserve">Масло конопляное "Радость труда" нерафинированное, 250 мл </t>
  </si>
  <si>
    <t xml:space="preserve">Масло облепиховое "Радость труда" нерафинированное, 250 мл </t>
  </si>
  <si>
    <t xml:space="preserve">Масло кедровое "Радость труда" нерафинированное, 250 мл </t>
  </si>
  <si>
    <t xml:space="preserve">Соус на основе оливкового масла со специями "ДЛЯ САЛАТОВ" "Радость труда", нерафинированный, 250 мл </t>
  </si>
  <si>
    <t xml:space="preserve">Соус на основе оливкового масла со специями "ДЛЯ МЯСНЫХ БЛЮД" "Радость труда", нераф., 250 мл </t>
  </si>
  <si>
    <t xml:space="preserve">Соус на основе оливкового масла со специями "ДЛЯ РЫБНЫХ БЛЮД" "Радость труда", нераф., 250 мл </t>
  </si>
  <si>
    <t>4670185155107</t>
  </si>
  <si>
    <t>4670185155121</t>
  </si>
  <si>
    <t>4670185155244</t>
  </si>
  <si>
    <t>4670185151437</t>
  </si>
  <si>
    <t>4670185151376</t>
  </si>
  <si>
    <t>4670185151338</t>
  </si>
  <si>
    <t>4670185152618</t>
  </si>
  <si>
    <t>4670185152731</t>
  </si>
  <si>
    <t>Соус Шрирача острый чили Cholimex foods, 520г</t>
  </si>
  <si>
    <t>Крем на растит маслах для взбивания ультрапастер. 1801 "Шеф Дукат", 26%, 1л (ваниль)</t>
  </si>
  <si>
    <t>Крем на растит маслах для взбивания ультрапастер. 302 "Шеф Дукат", 26%, 1л (пломбир)</t>
  </si>
  <si>
    <t>Топпинг соус десертный вишневый "Ducatto", 1кг</t>
  </si>
  <si>
    <t>пл.бут</t>
  </si>
  <si>
    <t>Топпинг соус десертный карамельный "Ducatto", 1кг</t>
  </si>
  <si>
    <t>Топпинг соус десертный клубничный "Ducatto", 1кг</t>
  </si>
  <si>
    <t>Топпинг соус десертный со вкусом соленой карамели "Ducatto", 1кг</t>
  </si>
  <si>
    <t>Топпинг соус десертный шоколадный "Ducatto", 1кг</t>
  </si>
  <si>
    <t>Томаты вяленные на солнце  в масле "Sardes", 4000/2700г</t>
  </si>
  <si>
    <t>Молоко питьевое ультрапастеризованное  3,1%ж., 1л. Савушкин</t>
  </si>
  <si>
    <t>Масло сладкосливочное несоленое Брест-Литовск м.д.ж. 82,5 % высший сорт, 1 кг</t>
  </si>
  <si>
    <t>Сыр твердый "Брест-Литовск выдержанный" м.д.ж 45%  1/4круга</t>
  </si>
  <si>
    <t>пленка</t>
  </si>
  <si>
    <t>Беларусь</t>
  </si>
  <si>
    <t>Смесь панировочная Оригинальная "Tamaki", 1 кг</t>
  </si>
  <si>
    <t>Смесь панировочная Острая "Tamaki", 1 кг</t>
  </si>
  <si>
    <t>4660136782087</t>
  </si>
  <si>
    <t>4660136782612</t>
  </si>
  <si>
    <t>4660136781752</t>
  </si>
  <si>
    <t>4660136781769</t>
  </si>
  <si>
    <t>Напиток апельсиновый из красного апельсина сокосодержащий "ZUEGG", 200мл</t>
  </si>
  <si>
    <t>Напиток из вишни и черешни сокосодержащий "ZUEGG", 200мл</t>
  </si>
  <si>
    <t>Напиток из граната сокосодержащий "ZUEGG", 200мл</t>
  </si>
  <si>
    <t>Напиток из манго и маракуйи сокосодержащий "ZUEGG", 200мл</t>
  </si>
  <si>
    <t>Напиток грейпфрутовый  сокосодержащий "ZUEGG", 200мл</t>
  </si>
  <si>
    <t>Напиток  безалкогольный с соком апельсин-морковь-лимон с вит. A, C, E "ZUEGG", 200мл</t>
  </si>
  <si>
    <t>Напиток  кокосовый "ZUEGG", 200мл</t>
  </si>
  <si>
    <t>Напиток ягодный  сокосодержащий "ZUEGG", 1000мл</t>
  </si>
  <si>
    <t>Напиток из киви и яблока сокосодержащий "ZUEGG", 1000мл</t>
  </si>
  <si>
    <t>Напиток из персика и яблока без сахара сокосодержащий "ZUEGG", 1000мл</t>
  </si>
  <si>
    <t>Напиток  апельсиновый без сахара сокосодержащий "ZUEGG", 1000мл</t>
  </si>
  <si>
    <t>Напиток грушево- яблочный без сахара сокосодержащий "ZUEGG", 1000мл</t>
  </si>
  <si>
    <t>Напиток яблочный без сахара сокосодержащий "ZUEGG", 1000мл</t>
  </si>
  <si>
    <t>Напиток фруктово- ягодный без сахара сокосодержащий "ZUEGG", 1000мл</t>
  </si>
  <si>
    <t>Напиток ананасовый сокосодержащий без сахара "ZUEGG", 1000мл</t>
  </si>
  <si>
    <t>Тетрапак</t>
  </si>
  <si>
    <t xml:space="preserve">80094913     </t>
  </si>
  <si>
    <t xml:space="preserve">80094951     </t>
  </si>
  <si>
    <t>80630715</t>
  </si>
  <si>
    <t>80242154</t>
  </si>
  <si>
    <t>80962212</t>
  </si>
  <si>
    <t>80043294</t>
  </si>
  <si>
    <t>80630739</t>
  </si>
  <si>
    <t>8000340450277</t>
  </si>
  <si>
    <t>8000340450383</t>
  </si>
  <si>
    <t>8000340450536</t>
  </si>
  <si>
    <t>8000340473450</t>
  </si>
  <si>
    <t>8000340473702</t>
  </si>
  <si>
    <t>8000340473443</t>
  </si>
  <si>
    <t>8000340473429</t>
  </si>
  <si>
    <t>лоток/блок</t>
  </si>
  <si>
    <t>Мышечный желудок цыплят-бройлера</t>
  </si>
  <si>
    <t xml:space="preserve">Ноги цыплят-бройлера </t>
  </si>
  <si>
    <t>Огурцы корнишоны "SUNFEEL" 680/360г</t>
  </si>
  <si>
    <t xml:space="preserve">Перец халапеньо резаный "2BROTHER", 3000/1700г </t>
  </si>
  <si>
    <t xml:space="preserve">Перец пеперончини "2BROTHER", 3000/1500г </t>
  </si>
  <si>
    <t>Перец пеперончини "2BROTHER", 370/180г</t>
  </si>
  <si>
    <t>Перец черри с хвостиком "2BROTHER", 370/180г</t>
  </si>
  <si>
    <t>Перец черри "2BROTHER" для фаршировки 3000/1500г</t>
  </si>
  <si>
    <t>Македония</t>
  </si>
  <si>
    <t xml:space="preserve">Масло кунжутное нерафинированное "БО" 100 мл </t>
  </si>
  <si>
    <t xml:space="preserve">Масло тыквенное нерафинированное "БО" 100 мл </t>
  </si>
  <si>
    <t>Масло рыжиковое нерафинированное "БО" 250 мл</t>
  </si>
  <si>
    <t>Масло тыквенное из семян голосемянной штирийской тыквы "Радость труда" нераф 250 мл</t>
  </si>
  <si>
    <t>Дрожжи сухие инстантные "5 STAGIONI" 500гр</t>
  </si>
  <si>
    <t xml:space="preserve">Сухая закваска для пиццы NATURCRAFT PIZZA "5 STAGIONI" </t>
  </si>
  <si>
    <t xml:space="preserve">Мука пшеничная для пиццы из мягких сортов "5 stagioni" Farina DI Grano тип ОО "Superiore",25кг </t>
  </si>
  <si>
    <t xml:space="preserve">Мука пшеничная для пиццы из мягких сортов "5 stagioni" Pizza Napoletana", 25кг </t>
  </si>
  <si>
    <t xml:space="preserve">Мука пшеничная для пиццы из мягких сортов "5 stagioni" Pizza ORO", 25кг </t>
  </si>
  <si>
    <t xml:space="preserve">Мука пшеничная для пасты из мягких сортов "5 stagioni" Pasta Fresca", 10кг </t>
  </si>
  <si>
    <t>Мука пшеничная из мягких сортов MANITOBA  "5 stagioni", 10кг</t>
  </si>
  <si>
    <t xml:space="preserve">Мука пшеничная  из твердых сортов пшеницы "5 stagioni" Semola Rimacinata, 10кг </t>
  </si>
  <si>
    <t xml:space="preserve">Смесь для пиццы "5 stagioni" "Roma", 10кг </t>
  </si>
  <si>
    <t>Конфитюр из абрикосов без сахара "ZUEGG", 220г, шт</t>
  </si>
  <si>
    <t>Конфитюр из апельсинов без сахара "ZUEGG", 220г, шт</t>
  </si>
  <si>
    <t>Конфитюр из клубники с земляникой без сахара "ZUEGG", 220г, шт</t>
  </si>
  <si>
    <t>Конфитюр из лесных ягод без сахара "ZUEGG", 220г, шт</t>
  </si>
  <si>
    <t>Конфитюр из манго без сахара "ZUEGG", 220г, шт</t>
  </si>
  <si>
    <t>Конфитюр из черешни без сахара "ZUEGG", 220г, шт</t>
  </si>
  <si>
    <t>Конфитюр из черники без сахара "ZUEGG", 220г, шт</t>
  </si>
  <si>
    <t>Паста каштановая с ванилью "ZUEGG", 330г</t>
  </si>
  <si>
    <t>Конфитюр экстра инжир "ZUEGG", 330г, шт</t>
  </si>
  <si>
    <t>Конфитюр экстра малина "ZUEGG", 320г, шт</t>
  </si>
  <si>
    <t>Конфитюр экстра из груши "Вильямс" "ZUEGG", 320г, шт</t>
  </si>
  <si>
    <t>Конфитюр экстра из черешни "ZUEGG", 320г, шт</t>
  </si>
  <si>
    <t>Конфитюр из лесных ягод "ZUEGG", 700г</t>
  </si>
  <si>
    <t>Конфитюр из  абрикоса "ZUEGG", 700г, шт</t>
  </si>
  <si>
    <t>Конфитюр из  персиков "ZUEGG", 700г, шт</t>
  </si>
  <si>
    <t>Конфитюр из  черешни "ZUEGG", 700г, шт</t>
  </si>
  <si>
    <t>8000340002339</t>
  </si>
  <si>
    <t>8000340450192</t>
  </si>
  <si>
    <t>8000340095218</t>
  </si>
  <si>
    <t>8000340450345</t>
  </si>
  <si>
    <t>8000340095386</t>
  </si>
  <si>
    <t>Горчица "Дижонская" "Uni Dan" 270г</t>
  </si>
  <si>
    <t>Горчица медовая с трюфелем "Truffle Chef", 210г</t>
  </si>
  <si>
    <t>8050705531516</t>
  </si>
  <si>
    <t>Сироп из граната "ZUEGG", 425мл</t>
  </si>
  <si>
    <t>Сироп из бузины "ZUEGG", 425мл</t>
  </si>
  <si>
    <t>Сироп из цитрусовых "ZUEGG", 425мл</t>
  </si>
  <si>
    <t>Сироп со вкусом асперулы "ZUEGG", 425мл</t>
  </si>
  <si>
    <t>8000340829073</t>
  </si>
  <si>
    <t>8000340829028</t>
  </si>
  <si>
    <t>8000340829011</t>
  </si>
  <si>
    <t>8000340829035</t>
  </si>
  <si>
    <t>Оливки зеленые без косточки "2BROTHER", 3100/1560г</t>
  </si>
  <si>
    <t>Оливки черные без косточки "2BROTHER", 3100/1560г</t>
  </si>
  <si>
    <t>Сок лайма DELPHI, 380 мл</t>
  </si>
  <si>
    <t>Васаби порошок PREMIUM "Yakimal",  1 кг</t>
  </si>
  <si>
    <t>Соус брусничный "Uni Dan" 270г</t>
  </si>
  <si>
    <t>Соус клюквенный "Uni Dan" 270г</t>
  </si>
  <si>
    <t>Соус облепиховый "Uni Dan" 270г</t>
  </si>
  <si>
    <t>Соус из морошки "Uni Dan" 270г</t>
  </si>
  <si>
    <t>Горчица зернистая "Uni Dan" 270г</t>
  </si>
  <si>
    <t>Горчица французкая "Uni Dan" 270г</t>
  </si>
  <si>
    <t>Горчица баварская "Uni Dan" 270г</t>
  </si>
  <si>
    <t>Горчица Русская Gustoff COOK PROFI, 250г</t>
  </si>
  <si>
    <t>Горчица жгучая "Uni Dan" 170г</t>
  </si>
  <si>
    <t>Горчица Русская Gustoff COOK PROFI, 150г</t>
  </si>
  <si>
    <t>Хрен домашний"UNI DAN", 270г</t>
  </si>
  <si>
    <t>Хрен сливочный "UNI DAN", 250г</t>
  </si>
  <si>
    <t>Хрен столовый Gustoff COOK PROFI, 250г</t>
  </si>
  <si>
    <t>Хрен столовый Gustoff COOK PROFI, 150г</t>
  </si>
  <si>
    <t>Соус васаби "Uni Dan", 170г</t>
  </si>
  <si>
    <t>Соус песто "Uni Dan", 170г</t>
  </si>
  <si>
    <t>Соус овощной для вторых блюд "Халапеньо" "UNI DAN", 150г</t>
  </si>
  <si>
    <t>Соус овощной для вторых блюд "Табаско Хабанеро" "UNI DAN", 150г</t>
  </si>
  <si>
    <t>Соус овощной для вторых блюд "Баффало острый" "UNI DAN", 150г</t>
  </si>
  <si>
    <t>Кетчуп томатный "Uni Dan", 230г</t>
  </si>
  <si>
    <t>Кетчуп шашлычный "Uni Dan", 230г</t>
  </si>
  <si>
    <t>Соус терияки "Uni Dan", 230г</t>
  </si>
  <si>
    <t>Соус шрирача острый "Uni Dan", 230г</t>
  </si>
  <si>
    <t>Соус чимичурри острый "Uni Dan", 230г</t>
  </si>
  <si>
    <t>Соус барбекю "Uni Dan", 230г</t>
  </si>
  <si>
    <t>Соус кисло-сладкий "Uni Dan", 230г</t>
  </si>
  <si>
    <t>Соус сладкий чили "Uni Dan", 230г</t>
  </si>
  <si>
    <t>Соус для чипсов острый Сальса "UNI DAN", 280г</t>
  </si>
  <si>
    <t>Соус для чипсов сырный "UNI DAN", 280г</t>
  </si>
  <si>
    <t>Соус для чипсов гуакамоле "UNI DAN", 280г</t>
  </si>
  <si>
    <t>Продукция "Uni Dan"</t>
  </si>
  <si>
    <t>Крем сливочный "Сливки для взбивания" "ЛМК", ультрапастеризованный, 33%, 1л</t>
  </si>
  <si>
    <t>тетра</t>
  </si>
  <si>
    <t>ст/ бан</t>
  </si>
  <si>
    <t>Мука пшеничная в/с М54-28, 2кг (Лида), Цена за пакет</t>
  </si>
  <si>
    <t xml:space="preserve">РБ </t>
  </si>
  <si>
    <t>пл.пак</t>
  </si>
  <si>
    <t>пласт</t>
  </si>
  <si>
    <t>ж/бал.</t>
  </si>
  <si>
    <t>пл. пак</t>
  </si>
  <si>
    <t>СОЛЬ, САХАР</t>
  </si>
  <si>
    <t>Соль пищевая выварочная экстра, 1кг.</t>
  </si>
  <si>
    <t>Сахар белый кристаллический свекловичный, 1кг</t>
  </si>
  <si>
    <t>Перец красный  "SARDES" резанный соломкой ( паприка) 4,25/2,3кг</t>
  </si>
  <si>
    <t>Перец мини острый "Citres", 290/160г</t>
  </si>
  <si>
    <t>Перец целый красный "AGRAR"  4,3/1,8кг</t>
  </si>
  <si>
    <t>Перец черри "2BROTHER",  370/180г</t>
  </si>
  <si>
    <t>Капуста квашенная  "WASTA" 9,7 кг</t>
  </si>
  <si>
    <t>Капуста красная   "WASTA" 9,7/9,2 кг</t>
  </si>
  <si>
    <t>Оливки зеленые крупные в масле с чили перцем "Citres"  520/310г</t>
  </si>
  <si>
    <t>Артишоки четвертинки в масле  "Citres Chef" 2200/1450г</t>
  </si>
  <si>
    <t>Артишоки в масле на гриле  "Citres", 230/145г</t>
  </si>
  <si>
    <t>цена за 1 кг чистого веса, без НДС</t>
  </si>
  <si>
    <t>Кол-во в коробке</t>
  </si>
  <si>
    <t>Помидоры вяленые в масле "NOVA",980г (ст/б)</t>
  </si>
  <si>
    <t>Артишоки целые со стеблем в масле "NOVA",2500г (ж/б)</t>
  </si>
  <si>
    <t>ж.б.</t>
  </si>
  <si>
    <t>Имбирь маринованный  (розовый) 1.4/1,0кг</t>
  </si>
  <si>
    <t>дой-пак</t>
  </si>
  <si>
    <t>016229912437</t>
  </si>
  <si>
    <t xml:space="preserve">016229912420 </t>
  </si>
  <si>
    <t>Грузди маринованные "Sunfeel", 280/170г</t>
  </si>
  <si>
    <t>Колбаски Баварские зам.лоток 600 гр (Дзержинка) шт</t>
  </si>
  <si>
    <t>Артишоки нарезанные в масле "Citres", 2200г/1430</t>
  </si>
  <si>
    <t>Оливки черные "таджасские" в масле "Citres", 200/90г</t>
  </si>
  <si>
    <t>8000523004297</t>
  </si>
  <si>
    <t>Мука миндальная "Yakimal", 1кг</t>
  </si>
  <si>
    <t>Иран</t>
  </si>
  <si>
    <t>ж.бан</t>
  </si>
  <si>
    <t>Паста томатная "TABIAT",800 г</t>
  </si>
  <si>
    <t>цена 1 кг</t>
  </si>
  <si>
    <t>Хрен столовый "UNI DAN", 5кг</t>
  </si>
  <si>
    <t>Горчица Русская "Uni Dan", 5кг</t>
  </si>
  <si>
    <t>Горчица зернистая "Uni Dan", 5кг</t>
  </si>
  <si>
    <t>Бедро цыпленка-бройлера п/ф</t>
  </si>
  <si>
    <t>Мякоть бедра цыплят-бройлеров без кожи п/ф</t>
  </si>
  <si>
    <t>Мякоть окорочков цыплят-бройлеров без кожи и без кости п/ф</t>
  </si>
  <si>
    <t>Чипсы "TARTUFI JIMMY"  с морской солью и ароматом белого трюфеля, 45г</t>
  </si>
  <si>
    <t>Напитки и СОКИ</t>
  </si>
  <si>
    <t>Лук консервированный в уксусе "И.П.О.С.Е.А.", 290/180г</t>
  </si>
  <si>
    <t>Окорочок цыпленка-бройлера п/ф</t>
  </si>
  <si>
    <t>Филе цыпленка-бройлера Лоток п/ф</t>
  </si>
  <si>
    <t>Крыло цыпленка-бройлера Лоток п/ф</t>
  </si>
  <si>
    <t>Крыло цыпленка-бройлера Блок п/ф</t>
  </si>
  <si>
    <t>Лопаточная часть из говядины п/ф</t>
  </si>
  <si>
    <t>Тазабедренная часть из говядины п/ф</t>
  </si>
  <si>
    <t>Уксус винный красный "Segreti d'Artigiano"  пл./бут. 1 л</t>
  </si>
  <si>
    <t>Вишня коктейльная красная с веточкой "Делькофф", 680/350г</t>
  </si>
  <si>
    <t>Соус грибной трюфельный с белыми грибами "TARTUFI JIMMY", 180г</t>
  </si>
  <si>
    <t>Соус грибной трюфельный с сыром "Пармиджано Реджано" Д.О.П. "TARTUFI JIMMY", 180г</t>
  </si>
  <si>
    <t>Манго ломтики в сиропе "BAN MAI", 400/230г</t>
  </si>
  <si>
    <t>8938501097439</t>
  </si>
  <si>
    <t>8006830990063</t>
  </si>
  <si>
    <t>пл/конт</t>
  </si>
  <si>
    <t>Перец мини фаршированный крем-сыром и вялеными томатами 240г/110г</t>
  </si>
  <si>
    <t>Перец мини фаршированный крем-сыром и трюфелем  240г/110г</t>
  </si>
  <si>
    <t>Перец мини фаршированный крем-сыром и соусом песто 240г/110г</t>
  </si>
  <si>
    <t>Перец мини фаршированный крем-сыром и перцем халапеньо 240г/110г</t>
  </si>
  <si>
    <t>Оливки зеленые крупные фаршированные крем-сыром 230г/130г</t>
  </si>
  <si>
    <t>Салата ПИКАНТЭ (овощной микс) 230г/100г</t>
  </si>
  <si>
    <t>4640005505313</t>
  </si>
  <si>
    <t xml:space="preserve">Масло льняное нерафинированное "АЖ" 250 мл </t>
  </si>
  <si>
    <t xml:space="preserve">Масло горчичное коричневое нерафинированное  "АЖ" 250 мл </t>
  </si>
  <si>
    <t>Масло кунжутное нерафинированное  "АЖ" 250 мл</t>
  </si>
  <si>
    <t>Масло виноградное рафинированное "АЖ" 250 мл</t>
  </si>
  <si>
    <t xml:space="preserve">Масло грецкого ореха нерафинированное  "АЖ" 250 мл </t>
  </si>
  <si>
    <t>Масло тыквенное нерафинированное  "АЖ" 250 мл</t>
  </si>
  <si>
    <t>Масло льняное нерафинированное "BO" 100 мл</t>
  </si>
  <si>
    <t>Масло подсолнечное для фритюра раф. "Благо Pro"  5л</t>
  </si>
  <si>
    <t>Масло подсолнечное  рафин. "Дары Кубани"  1л</t>
  </si>
  <si>
    <t>Масло подсолнечное  рафин. дез. "Дары Кубани"  5л</t>
  </si>
  <si>
    <t>Шампиньоны резанные  2,84/1,93кг</t>
  </si>
  <si>
    <t>Грибы шампиньоны "Bonappetite" с горчицей и паприкрй, 470г</t>
  </si>
  <si>
    <t>Груши половинками в сиропе "Sunfeel",410/230г</t>
  </si>
  <si>
    <t>Сливки питьевые "Минская марка" стерилиз. 20%, с крышкой, 1 кг</t>
  </si>
  <si>
    <t>Ананасы кольца "Segreti D`Artigiano"  565/340г</t>
  </si>
  <si>
    <t>Лапша пшеничная удон "Yakimal",  300г</t>
  </si>
  <si>
    <t>4673749476120</t>
  </si>
  <si>
    <t>Печень ИНДЕЕК, лоток,  500г (Орша)</t>
  </si>
  <si>
    <t xml:space="preserve">Жидкий дым классический (ароматизатор), 0,33л </t>
  </si>
  <si>
    <t>Листья каффир-лайма сушеные "Yakimal", 10гр</t>
  </si>
  <si>
    <t>4602481802850</t>
  </si>
  <si>
    <t>Лапша яичная "Yakimal", 300г</t>
  </si>
  <si>
    <t>Соус Краснодарский томатный оригинальный Gustoff COOK PROFI, 500г</t>
  </si>
  <si>
    <t>Паста томатная  Gustoff COOK PROFI, 25%, 250г</t>
  </si>
  <si>
    <t>Масло кунжутное нерафинированное "REAL TANG", 500мл</t>
  </si>
  <si>
    <t>Соусы Tamaki 200-250-470</t>
  </si>
  <si>
    <t>Майонез японский Tamaki 250 мл</t>
  </si>
  <si>
    <t>Соус ананасовый с перцем чили Tamaki 470мл</t>
  </si>
  <si>
    <t>Соус барбекю Tamaki 250мл</t>
  </si>
  <si>
    <t>Соус барбекю Tamaki 470мл</t>
  </si>
  <si>
    <t>Соус васаби на основе раст. масел Tamaki 200мл</t>
  </si>
  <si>
    <t>Соус горчичный на основе раст.масел Tamaki 200мл</t>
  </si>
  <si>
    <t>Соус гриль на основе растит.масел Tamaki 250мл</t>
  </si>
  <si>
    <t>Соус гриль на основе растит.масел Tamaki 470мл</t>
  </si>
  <si>
    <t>Соус Для бургеров на основе растит.масел   Tamaki 470мл</t>
  </si>
  <si>
    <t>Соус Для бургеров со вкусом огурца на основе раст.масел  Tamaki 250мл</t>
  </si>
  <si>
    <t>Соус Для бургеров со вкусом огурца на основе раст.масел  Tamaki 470мл</t>
  </si>
  <si>
    <t>Соус Для шаурмы на основе раст. масел Tamaki 470мл</t>
  </si>
  <si>
    <t>Соус Для шаурмы на основе растит.масел Tamaki 250мл</t>
  </si>
  <si>
    <t>Соус Карри с ананасом на основе растит.масел Tamaki 470мл</t>
  </si>
  <si>
    <t>Соус кимчи Tamaki  470 мл</t>
  </si>
  <si>
    <t>Соус кисло-сладкий Tamaki 200мл</t>
  </si>
  <si>
    <t>Соус манго с перцем чили Tamaki 470мл</t>
  </si>
  <si>
    <t>Соус медово-горчичный Tamaki 470мл</t>
  </si>
  <si>
    <t>Соус ореховый на основе раст.масел Tamaki 470мл</t>
  </si>
  <si>
    <t xml:space="preserve">Соус Сальса Tamaki 200мл </t>
  </si>
  <si>
    <t>Соус сладкий чили для курицы Tamaki 470мл</t>
  </si>
  <si>
    <t>Соус со вкусом лемрнграса Tamaki 470мл</t>
  </si>
  <si>
    <t>Соус сырный на основе раст.масел  Tamaki 250мл</t>
  </si>
  <si>
    <t>Соус сырный на основе раст.масел  Сырный Tamaki 250мл</t>
  </si>
  <si>
    <t>Соус Унаги Tamaki 470мл</t>
  </si>
  <si>
    <t>Соус Чесночный Ранч на основе раст.масел Tamaki 470мл</t>
  </si>
  <si>
    <t>Соус Шрирача Tamaki 470мл</t>
  </si>
  <si>
    <t>Соус Шрирача черная Tamaki 470мл</t>
  </si>
  <si>
    <t>Уксус рисовый Tamaki 470мл</t>
  </si>
  <si>
    <t>Соус Черный перец Tamaki  470мл</t>
  </si>
  <si>
    <t xml:space="preserve">Филе ИНДЕЙКИ зам. лоток </t>
  </si>
  <si>
    <t>Манго ломтики в сиропе "Segreti D`Artigiano", 425/235г</t>
  </si>
  <si>
    <t>4670116581654</t>
  </si>
  <si>
    <t>Мандарины дольки  в сиропе "Segreti D`Artigiano", 312/175г</t>
  </si>
  <si>
    <t>4670116581548</t>
  </si>
  <si>
    <t>Личи в сиропе без косточки "Segreti D`Artigiano", 565/250г</t>
  </si>
  <si>
    <t>4670116582286</t>
  </si>
  <si>
    <t>Груши мини в сиропе "D*Amico", 420/200г</t>
  </si>
  <si>
    <t>8005695000610</t>
  </si>
  <si>
    <t>Масло оливк Extra virgin нераф. с ароматом трюфеля "Mantova", 250мл</t>
  </si>
  <si>
    <t>Масло оливк Extra virgin нераф.  с ароматом трюфеля "Mantova", 200мл</t>
  </si>
  <si>
    <t>Масло грецкого ореха нерафинированное "BO", 0,1л/92г</t>
  </si>
  <si>
    <t>Масло горчичное коричневое нерафинированное "BO", 0,1л/92г</t>
  </si>
  <si>
    <t>4640005505801</t>
  </si>
  <si>
    <t>4640005505320</t>
  </si>
  <si>
    <t>8008378004172</t>
  </si>
  <si>
    <t>Масло оливк Extra virgin нераф. "Mantova", 250мл</t>
  </si>
  <si>
    <t>Масло оливк Extra virgin нераф. "Mantova", 500мл</t>
  </si>
  <si>
    <t>Масло оливк нераф Extra virgin olive oil 0,2% Sitia, 500 мл</t>
  </si>
  <si>
    <t>Масло оливк нераф Extra virgin olive oil Sitia кислотн 0,2% ,1 л</t>
  </si>
  <si>
    <t>Масло оливк нераф Extra Virgin olive oil Каламата Delphi,250мл</t>
  </si>
  <si>
    <t>Масло оливк нераф Extra Virgin olive oil Каламата Delphi,500мл</t>
  </si>
  <si>
    <t>Масло олив нераф Extra Virgin нефильтр раннего сбора "АГУРЕЛЕО" Delphi,500мл</t>
  </si>
  <si>
    <t xml:space="preserve">Перец красный сладкий peppedoro ROYAL MEDITERRANEAN,  4100/1800г </t>
  </si>
  <si>
    <t>Сельдерей резанный WASTA  3,9/2,2кг</t>
  </si>
  <si>
    <t>Фасоль красная "SUNFEEL", 425мл</t>
  </si>
  <si>
    <t>Маслины гигант  Белла Чериньола с/к "И.П.О.С.Е.А", 4,2/2,3кг</t>
  </si>
  <si>
    <t>Масло оливковое нераф  "Тумаи" Anfosso 0,25л Золотая фольга</t>
  </si>
  <si>
    <t>Масло оливковое из таджасских оливок нераф "Тумаи" Anfosso 0,5л</t>
  </si>
  <si>
    <t>Масло оливковое нераф DOP "Ривьера Лигуре-Ривьера дей Фьори",  Anfosso 0,5л</t>
  </si>
  <si>
    <t>Масло оливковое нераф высшего качества "Fruttato" San Giuliano 500мл</t>
  </si>
  <si>
    <t>КОФЕ</t>
  </si>
  <si>
    <t>Кофе в зернах жаренный "NERO" "Lollocaffe", 500г</t>
  </si>
  <si>
    <t>Кофе в зернах жаренный "CLASSICO" "Lollocaffe", 1000г</t>
  </si>
  <si>
    <t xml:space="preserve">Кофе в зернах жаренный "CLASSICO" "Lollocaffe", 500г </t>
  </si>
  <si>
    <t xml:space="preserve">Кофе в зернах жаренный "ORO" "Lollocaffe", 1000г </t>
  </si>
  <si>
    <t>пл.пак.</t>
  </si>
  <si>
    <t>Томаты протертые "Pomi", пастеризованные 1000 гр</t>
  </si>
  <si>
    <t>Томаты в собственном соку стерилизованные "Pomi", 2,5/1,5кг</t>
  </si>
  <si>
    <t>Томаты очищенные в томатном соке Gastronomia  Mutti 2500г</t>
  </si>
  <si>
    <t>Томатное пюре для пиццы "Pizza Sauce Classica"  "Мутти", 4100г</t>
  </si>
  <si>
    <t xml:space="preserve">Томатное пюре для пиццы со специями "Pizza Sauce Aromatizzata"  "Мутти", 4100г </t>
  </si>
  <si>
    <t>Рисовая бумага для спринг-роллов "MANESK", 200г</t>
  </si>
  <si>
    <t>Кетчуп томатный "Мутти", 300г</t>
  </si>
  <si>
    <t xml:space="preserve">Томаты резаные кубиками в томатном соке с базиликом "Мутти", 400г </t>
  </si>
  <si>
    <t xml:space="preserve">Томаты резаные кубиками в томатном соке с чесноком "Мутти", 400г </t>
  </si>
  <si>
    <t xml:space="preserve">Томаты резанные кубиком "Мутти", 210г </t>
  </si>
  <si>
    <t xml:space="preserve">Томаты протертые с базиликом "Мутти", 400г </t>
  </si>
  <si>
    <t xml:space="preserve">Томаты целые очищенные в томатном соке "Мутти" Pelati, 400/260г </t>
  </si>
  <si>
    <t xml:space="preserve">Томаты целые очищенные в томатном соке "Мутти" DATTERINIi, 400/240г </t>
  </si>
  <si>
    <t>ВЫРЕЗКА ГОВЯЖЬЯ</t>
  </si>
  <si>
    <t>Ананасы кусочки в сиропе "Segreti D`Artigiano" 565/340г</t>
  </si>
  <si>
    <t xml:space="preserve">Филе ломтики тунца желтоперого в подсолнечном масле "Mister Ton",ж/б, 160г </t>
  </si>
  <si>
    <t xml:space="preserve">Филе ломтики тунца желтоперого в собственном соку "Rosa dei Venti",ж/б, 160г </t>
  </si>
  <si>
    <t xml:space="preserve">Светлые и темные кусочки тунца желтоперого в подсолнечном масле "RosaMarina",ж/б, 160г </t>
  </si>
  <si>
    <t xml:space="preserve">Филе ломтики тунца желтоперого в подсолнечном масле "Mister Ton",ж/б, 3*80г </t>
  </si>
  <si>
    <t>Тунец консервированный</t>
  </si>
  <si>
    <t>Майонез  Провансаль  м.д.ж. 67% "HOLBERG" № 17 ведро 9,4 кг/10 л</t>
  </si>
  <si>
    <t>пл пак</t>
  </si>
  <si>
    <t>Кокосовое молоко Переработанная мякоть кокосового ореха Vietcoco 0,400 мл</t>
  </si>
  <si>
    <t>Перецы фаршированные САЛОН ЕДЫ #1 (цена указана за 1 контейнер)</t>
  </si>
  <si>
    <t>Огурцы корнишоны маринованные"ДЕЛЬКОФФ" 680/340г</t>
  </si>
  <si>
    <t xml:space="preserve">Груши половинками в сиропе "Segreti D`Artigiano",820/460г </t>
  </si>
  <si>
    <t>Персики в сиропе половинками "Segreti D`Artigiano", 820/460г</t>
  </si>
  <si>
    <t>Продукт рассольный Comella комбинированный, 50%, 500г</t>
  </si>
  <si>
    <t>ЗАМОРОЗКА КУРИЦА/МЯСО</t>
  </si>
  <si>
    <t>Приправа вкусовая с доб. трюфеля "Artigiani del Tartufo" порошкообр., 65г</t>
  </si>
  <si>
    <t>Оливки зеленые РЕЗАНЫЕ  "2BROTHER" 3/1,56 кг</t>
  </si>
  <si>
    <t>Оливки черные РЕЗАНЫЕ  "2BROTHER" 3/1,56 кг</t>
  </si>
  <si>
    <t>Соус томатный "Болоньезе" "UNI DAN", 350г</t>
  </si>
  <si>
    <t>Соус томатный "С Базиликом" "UNI DAN", 350г</t>
  </si>
  <si>
    <t>Соус томатный "Итальянский" "UNI DAN", 350г</t>
  </si>
  <si>
    <t>Соус томатный "Аррабиата" "UNI DAN", 350г</t>
  </si>
  <si>
    <t>ст/бан</t>
  </si>
  <si>
    <t>Соус Краснодарский томатный "UNI DAN", 350г</t>
  </si>
  <si>
    <t>Соус томатный оригинальный Аджика "традиционная"  GUSTOFF COOK PROFI 150 г</t>
  </si>
  <si>
    <t>Соус Ткемали кисло-сладкий "MADLI" 270 г</t>
  </si>
  <si>
    <t>Соус ткемали Ткемали шашлычный кисло-острый "MADLI" 270 г</t>
  </si>
  <si>
    <t>Майонез Провансаль "Holberg", 67%, ВК15 10л/9,4кг</t>
  </si>
  <si>
    <t>Майонез Провансаль "ДОБРЫНЯ", 67%, 750мл</t>
  </si>
  <si>
    <t>Майонез Оливковый "ДОБРЫНЯ", 67%, 750мл</t>
  </si>
  <si>
    <t>Томатный пицца соус "Добрыня", 3кг</t>
  </si>
  <si>
    <t>Томатный пицца соус с базиликом  "HOLBERG", 3кг</t>
  </si>
  <si>
    <t>Соус майонезный "Сырный" "Holberg", 25%, 750г</t>
  </si>
  <si>
    <t xml:space="preserve">Соус устричный "JAWS" (0,820 кг / 0,700 л) </t>
  </si>
  <si>
    <t xml:space="preserve">Соус устричный "JAWS" (0,335 кг / 0,300 л) </t>
  </si>
  <si>
    <t>Соус рыбный "JAWS" (0,930 кг / 0,750 л)</t>
  </si>
  <si>
    <t xml:space="preserve">Соус рыбный "JAWS" (0,180 кг / 0,200 л) </t>
  </si>
  <si>
    <t>Соусы, Майонез</t>
  </si>
  <si>
    <t>Макароны  Спагетти "Пастифичио Феличетти" с чернилами каракатицы 500 г</t>
  </si>
  <si>
    <t>Соус соевый классический. Т.м. "Yamasa" 150 мл</t>
  </si>
  <si>
    <t>Соус соевый слабосоленый. Т.м. "Yamasa" 150 мл</t>
  </si>
  <si>
    <t>Соус соевый без глютена Тамари. Т.м. "Yamasa"  150 мл</t>
  </si>
  <si>
    <t>Соус соевый слабосоленый "SAUSE GRANDMASTER", 250 мл</t>
  </si>
  <si>
    <t>Соус соевый традиционный "SAUSE GRANDMASTER", 250 мл</t>
  </si>
  <si>
    <t>Глутамат натрия (усилитель вкуса - Аджиномото) PRB пл/п  0,454кг</t>
  </si>
  <si>
    <t xml:space="preserve"> "АлДиАл Групп" www.allfood.by Менеджер по продажам Жанна 8029 209 62 31; 8044 5598305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</si>
</sst>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.00_-;\-* #,##0.00_-;_-* &quot;-&quot;??_-;_-@_-"/>
    <numFmt numFmtId="165" formatCode="_-* #,##0.00\ &quot;Br&quot;_-;\-* #,##0.00\ &quot;Br&quot;_-;_-* &quot;-&quot;??\ &quot;Br&quot;_-;_-@_-"/>
    <numFmt numFmtId="166" formatCode="_(* #,##0.00_);_(* \(#,##0.00\);_(* &quot;-&quot;??_);_(@_)"/>
  </numFmts>
  <fonts count="2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"/>
      <family val="2"/>
      <charset val="204"/>
    </font>
    <font>
      <sz val="8"/>
      <name val="Arial"/>
      <family val="2"/>
    </font>
    <font>
      <b/>
      <i/>
      <sz val="9"/>
      <name val="Times New Roman"/>
      <family val="1"/>
      <charset val="204"/>
    </font>
    <font>
      <sz val="8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sz val="9"/>
      <color rgb="FF222222"/>
      <name val="Times New Roman"/>
      <family val="1"/>
      <charset val="204"/>
    </font>
    <font>
      <sz val="8"/>
      <name val="Arial Cyr"/>
      <charset val="204"/>
    </font>
    <font>
      <b/>
      <sz val="11"/>
      <name val="Times New Roman"/>
      <family val="1"/>
      <charset val="204"/>
    </font>
    <font>
      <sz val="7"/>
      <name val="Times New Roman"/>
      <family val="1"/>
      <charset val="204"/>
    </font>
    <font>
      <sz val="10"/>
      <name val="Arial Narrow"/>
      <family val="2"/>
      <charset val="204"/>
    </font>
    <font>
      <sz val="10"/>
      <name val="Arial"/>
      <family val="2"/>
      <charset val="186"/>
    </font>
    <font>
      <i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7" fillId="0" borderId="0"/>
    <xf numFmtId="0" fontId="3" fillId="0" borderId="0"/>
    <xf numFmtId="0" fontId="2" fillId="0" borderId="0"/>
    <xf numFmtId="164" fontId="6" fillId="0" borderId="0" applyFont="0" applyFill="0" applyBorder="0" applyAlignment="0" applyProtection="0"/>
    <xf numFmtId="0" fontId="6" fillId="0" borderId="0"/>
    <xf numFmtId="0" fontId="18" fillId="0" borderId="0"/>
    <xf numFmtId="0" fontId="17" fillId="0" borderId="0"/>
    <xf numFmtId="0" fontId="11" fillId="0" borderId="0"/>
    <xf numFmtId="43" fontId="6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/>
    <xf numFmtId="2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4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2" fontId="4" fillId="0" borderId="1" xfId="0" applyNumberFormat="1" applyFont="1" applyBorder="1" applyAlignment="1">
      <alignment vertical="center"/>
    </xf>
    <xf numFmtId="2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2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" fontId="4" fillId="0" borderId="1" xfId="0" quotePrefix="1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right"/>
    </xf>
    <xf numFmtId="0" fontId="4" fillId="0" borderId="5" xfId="0" applyFont="1" applyBorder="1" applyAlignment="1">
      <alignment wrapText="1"/>
    </xf>
    <xf numFmtId="0" fontId="8" fillId="0" borderId="1" xfId="0" applyFont="1" applyBorder="1" applyAlignment="1">
      <alignment wrapText="1"/>
    </xf>
    <xf numFmtId="17" fontId="4" fillId="0" borderId="1" xfId="0" quotePrefix="1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right" vertical="center" wrapText="1"/>
    </xf>
    <xf numFmtId="0" fontId="10" fillId="0" borderId="3" xfId="0" applyFont="1" applyBorder="1" applyAlignment="1">
      <alignment wrapText="1"/>
    </xf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wrapText="1"/>
    </xf>
    <xf numFmtId="165" fontId="4" fillId="0" borderId="1" xfId="3" applyFont="1" applyFill="1" applyBorder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right"/>
    </xf>
    <xf numFmtId="2" fontId="4" fillId="0" borderId="2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horizontal="right" vertical="center"/>
    </xf>
    <xf numFmtId="2" fontId="4" fillId="0" borderId="2" xfId="0" applyNumberFormat="1" applyFont="1" applyBorder="1"/>
    <xf numFmtId="1" fontId="4" fillId="0" borderId="1" xfId="1" applyNumberFormat="1" applyFont="1" applyFill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wrapText="1"/>
    </xf>
    <xf numFmtId="2" fontId="10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15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right"/>
    </xf>
    <xf numFmtId="0" fontId="4" fillId="0" borderId="1" xfId="0" quotePrefix="1" applyFont="1" applyBorder="1" applyAlignment="1">
      <alignment horizontal="right"/>
    </xf>
    <xf numFmtId="0" fontId="4" fillId="0" borderId="3" xfId="0" quotePrefix="1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1" fontId="10" fillId="0" borderId="1" xfId="0" applyNumberFormat="1" applyFont="1" applyBorder="1" applyAlignment="1">
      <alignment horizontal="right"/>
    </xf>
    <xf numFmtId="1" fontId="4" fillId="0" borderId="1" xfId="1" applyNumberFormat="1" applyFont="1" applyFill="1" applyBorder="1" applyAlignment="1" applyProtection="1">
      <alignment horizontal="right" vertical="center"/>
    </xf>
    <xf numFmtId="1" fontId="10" fillId="0" borderId="1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right"/>
    </xf>
    <xf numFmtId="2" fontId="4" fillId="0" borderId="1" xfId="0" quotePrefix="1" applyNumberFormat="1" applyFont="1" applyBorder="1" applyAlignment="1">
      <alignment horizontal="right"/>
    </xf>
    <xf numFmtId="2" fontId="4" fillId="0" borderId="6" xfId="0" applyNumberFormat="1" applyFont="1" applyBorder="1" applyAlignment="1">
      <alignment horizontal="center" vertical="center" wrapText="1"/>
    </xf>
    <xf numFmtId="1" fontId="4" fillId="0" borderId="5" xfId="1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0" borderId="1" xfId="7" applyNumberFormat="1" applyFont="1" applyFill="1" applyBorder="1" applyAlignment="1" applyProtection="1">
      <alignment horizontal="center" vertical="center"/>
    </xf>
    <xf numFmtId="0" fontId="10" fillId="0" borderId="1" xfId="6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10" fillId="0" borderId="1" xfId="0" applyFont="1" applyBorder="1"/>
    <xf numFmtId="2" fontId="4" fillId="0" borderId="5" xfId="0" applyNumberFormat="1" applyFont="1" applyBorder="1"/>
    <xf numFmtId="2" fontId="19" fillId="0" borderId="2" xfId="0" applyNumberFormat="1" applyFont="1" applyBorder="1" applyAlignment="1">
      <alignment horizontal="center" vertical="center" wrapText="1"/>
    </xf>
    <xf numFmtId="0" fontId="9" fillId="0" borderId="7" xfId="4" applyFont="1" applyBorder="1" applyAlignment="1">
      <alignment horizontal="left" vertical="top" wrapText="1"/>
    </xf>
    <xf numFmtId="0" fontId="10" fillId="0" borderId="7" xfId="5" applyFont="1" applyBorder="1" applyAlignment="1">
      <alignment horizontal="left" vertical="top" wrapText="1"/>
    </xf>
    <xf numFmtId="0" fontId="10" fillId="0" borderId="7" xfId="13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</cellXfs>
  <cellStyles count="14">
    <cellStyle name="Legal 8½ x 14 in" xfId="9"/>
    <cellStyle name="Normal_сводка" xfId="10"/>
    <cellStyle name="Денежный" xfId="3" builtinId="4"/>
    <cellStyle name="Обычный" xfId="0" builtinId="0"/>
    <cellStyle name="Обычный 2" xfId="4"/>
    <cellStyle name="Обычный 2 2" xfId="8"/>
    <cellStyle name="Обычный 3" xfId="5"/>
    <cellStyle name="Обычный 3 2" xfId="11"/>
    <cellStyle name="Обычный 4" xfId="6"/>
    <cellStyle name="Обычный 5" xfId="13"/>
    <cellStyle name="Финансовый 2" xfId="1"/>
    <cellStyle name="Финансовый 2 2" xfId="2"/>
    <cellStyle name="Финансовый 2 3" xfId="12"/>
    <cellStyle name="Финансовый 2 4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403</xdr:row>
      <xdr:rowOff>0</xdr:rowOff>
    </xdr:from>
    <xdr:to>
      <xdr:col>5</xdr:col>
      <xdr:colOff>304800</xdr:colOff>
      <xdr:row>404</xdr:row>
      <xdr:rowOff>100745</xdr:rowOff>
    </xdr:to>
    <xdr:sp macro="" textlink="">
      <xdr:nvSpPr>
        <xdr:cNvPr id="2" name="AutoShape 2" descr="Оливки Granata Гиганти, купить в интернет магазине">
          <a:extLst>
            <a:ext uri="{FF2B5EF4-FFF2-40B4-BE49-F238E27FC236}">
              <a16:creationId xmlns="" xmlns:a16="http://schemas.microsoft.com/office/drawing/2014/main" id="{EE4B2100-67C4-4C7B-BFD7-83EC6F9F8A66}"/>
            </a:ext>
          </a:extLst>
        </xdr:cNvPr>
        <xdr:cNvSpPr>
          <a:spLocks noChangeAspect="1" noChangeArrowheads="1"/>
        </xdr:cNvSpPr>
      </xdr:nvSpPr>
      <xdr:spPr bwMode="auto">
        <a:xfrm>
          <a:off x="6829425" y="49549050"/>
          <a:ext cx="304800" cy="300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403</xdr:row>
      <xdr:rowOff>0</xdr:rowOff>
    </xdr:from>
    <xdr:to>
      <xdr:col>5</xdr:col>
      <xdr:colOff>304800</xdr:colOff>
      <xdr:row>404</xdr:row>
      <xdr:rowOff>100746</xdr:rowOff>
    </xdr:to>
    <xdr:sp macro="" textlink="">
      <xdr:nvSpPr>
        <xdr:cNvPr id="3" name="AutoShape 6" descr="Перец черри острый &amp;quot;SARDES&amp;quot; , 350/180г — купить в интернет-магазине OZON с  быстрой доставкой">
          <a:extLst>
            <a:ext uri="{FF2B5EF4-FFF2-40B4-BE49-F238E27FC236}">
              <a16:creationId xmlns="" xmlns:a16="http://schemas.microsoft.com/office/drawing/2014/main" id="{FA91EC82-DBE7-4F55-BDD7-C7B84404CCA9}"/>
            </a:ext>
          </a:extLst>
        </xdr:cNvPr>
        <xdr:cNvSpPr>
          <a:spLocks noChangeAspect="1" noChangeArrowheads="1"/>
        </xdr:cNvSpPr>
      </xdr:nvSpPr>
      <xdr:spPr bwMode="auto">
        <a:xfrm>
          <a:off x="6829425" y="49549050"/>
          <a:ext cx="304800" cy="300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403</xdr:row>
      <xdr:rowOff>0</xdr:rowOff>
    </xdr:from>
    <xdr:to>
      <xdr:col>5</xdr:col>
      <xdr:colOff>304800</xdr:colOff>
      <xdr:row>404</xdr:row>
      <xdr:rowOff>100746</xdr:rowOff>
    </xdr:to>
    <xdr:sp macro="" textlink="">
      <xdr:nvSpPr>
        <xdr:cNvPr id="4" name="AutoShape 7" descr="Перец черри острый &amp;quot;SARDES&amp;quot; , 350/180г — купить в интернет-магазине OZON с  быстрой доставкой">
          <a:extLst>
            <a:ext uri="{FF2B5EF4-FFF2-40B4-BE49-F238E27FC236}">
              <a16:creationId xmlns="" xmlns:a16="http://schemas.microsoft.com/office/drawing/2014/main" id="{4CA8C718-F209-4301-B21A-5E65E096F0C8}"/>
            </a:ext>
          </a:extLst>
        </xdr:cNvPr>
        <xdr:cNvSpPr>
          <a:spLocks noChangeAspect="1" noChangeArrowheads="1"/>
        </xdr:cNvSpPr>
      </xdr:nvSpPr>
      <xdr:spPr bwMode="auto">
        <a:xfrm>
          <a:off x="6829425" y="49549050"/>
          <a:ext cx="304800" cy="300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403</xdr:row>
      <xdr:rowOff>0</xdr:rowOff>
    </xdr:from>
    <xdr:to>
      <xdr:col>5</xdr:col>
      <xdr:colOff>304800</xdr:colOff>
      <xdr:row>404</xdr:row>
      <xdr:rowOff>100746</xdr:rowOff>
    </xdr:to>
    <xdr:sp macro="" textlink="">
      <xdr:nvSpPr>
        <xdr:cNvPr id="5" name="AutoShape 8" descr="Перец черри острый &amp;quot;SARDES&amp;quot; , 350/180г — купить в интернет-магазине OZON с  быстрой доставкой">
          <a:extLst>
            <a:ext uri="{FF2B5EF4-FFF2-40B4-BE49-F238E27FC236}">
              <a16:creationId xmlns="" xmlns:a16="http://schemas.microsoft.com/office/drawing/2014/main" id="{E11C55AD-C724-480B-AABE-2B8A9C51FE46}"/>
            </a:ext>
          </a:extLst>
        </xdr:cNvPr>
        <xdr:cNvSpPr>
          <a:spLocks noChangeAspect="1" noChangeArrowheads="1"/>
        </xdr:cNvSpPr>
      </xdr:nvSpPr>
      <xdr:spPr bwMode="auto">
        <a:xfrm>
          <a:off x="6829425" y="49549050"/>
          <a:ext cx="304800" cy="300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403</xdr:row>
      <xdr:rowOff>0</xdr:rowOff>
    </xdr:from>
    <xdr:to>
      <xdr:col>5</xdr:col>
      <xdr:colOff>304800</xdr:colOff>
      <xdr:row>404</xdr:row>
      <xdr:rowOff>100746</xdr:rowOff>
    </xdr:to>
    <xdr:sp macro="" textlink="">
      <xdr:nvSpPr>
        <xdr:cNvPr id="6" name="AutoShape 4" descr="Манго Sunfeel дольки в сиропе 425 мл: купить в Москве с доставкой всего за  129 руб. | Интернет-магазин Apeti.ru">
          <a:extLst>
            <a:ext uri="{FF2B5EF4-FFF2-40B4-BE49-F238E27FC236}">
              <a16:creationId xmlns="" xmlns:a16="http://schemas.microsoft.com/office/drawing/2014/main" id="{1BC27024-36F3-442A-B074-C0F8BAA60FEA}"/>
            </a:ext>
          </a:extLst>
        </xdr:cNvPr>
        <xdr:cNvSpPr>
          <a:spLocks noChangeAspect="1" noChangeArrowheads="1"/>
        </xdr:cNvSpPr>
      </xdr:nvSpPr>
      <xdr:spPr bwMode="auto">
        <a:xfrm>
          <a:off x="6829425" y="49549050"/>
          <a:ext cx="304800" cy="300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403</xdr:row>
      <xdr:rowOff>0</xdr:rowOff>
    </xdr:from>
    <xdr:to>
      <xdr:col>5</xdr:col>
      <xdr:colOff>304800</xdr:colOff>
      <xdr:row>404</xdr:row>
      <xdr:rowOff>100746</xdr:rowOff>
    </xdr:to>
    <xdr:sp macro="" textlink="">
      <xdr:nvSpPr>
        <xdr:cNvPr id="7" name="AutoShape 2" descr="Груши половинки в сиропе, Sunfeel, 2650 мл., купить в от 589.22 руб. с  доставкой в интернет-магазине tortila63.ru">
          <a:extLst>
            <a:ext uri="{FF2B5EF4-FFF2-40B4-BE49-F238E27FC236}">
              <a16:creationId xmlns="" xmlns:a16="http://schemas.microsoft.com/office/drawing/2014/main" id="{1E568D68-FBFE-4691-B97C-56AB59BFC8D4}"/>
            </a:ext>
          </a:extLst>
        </xdr:cNvPr>
        <xdr:cNvSpPr>
          <a:spLocks noChangeAspect="1" noChangeArrowheads="1"/>
        </xdr:cNvSpPr>
      </xdr:nvSpPr>
      <xdr:spPr bwMode="auto">
        <a:xfrm>
          <a:off x="6829425" y="49549050"/>
          <a:ext cx="304800" cy="300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403</xdr:row>
      <xdr:rowOff>0</xdr:rowOff>
    </xdr:from>
    <xdr:to>
      <xdr:col>5</xdr:col>
      <xdr:colOff>304800</xdr:colOff>
      <xdr:row>404</xdr:row>
      <xdr:rowOff>100746</xdr:rowOff>
    </xdr:to>
    <xdr:sp macro="" textlink="">
      <xdr:nvSpPr>
        <xdr:cNvPr id="8" name="AutoShape 3" descr="Груши половинки в сиропе, Sunfeel, 2650 мл., купить в от 589.22 руб. с  доставкой в интернет-магазине tortila63.ru">
          <a:extLst>
            <a:ext uri="{FF2B5EF4-FFF2-40B4-BE49-F238E27FC236}">
              <a16:creationId xmlns="" xmlns:a16="http://schemas.microsoft.com/office/drawing/2014/main" id="{1BE0AA47-580F-4BA7-AEDB-007BFDBCA7E4}"/>
            </a:ext>
          </a:extLst>
        </xdr:cNvPr>
        <xdr:cNvSpPr>
          <a:spLocks noChangeAspect="1" noChangeArrowheads="1"/>
        </xdr:cNvSpPr>
      </xdr:nvSpPr>
      <xdr:spPr bwMode="auto">
        <a:xfrm>
          <a:off x="6829425" y="49549050"/>
          <a:ext cx="304800" cy="300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403</xdr:row>
      <xdr:rowOff>0</xdr:rowOff>
    </xdr:from>
    <xdr:to>
      <xdr:col>5</xdr:col>
      <xdr:colOff>304800</xdr:colOff>
      <xdr:row>404</xdr:row>
      <xdr:rowOff>100746</xdr:rowOff>
    </xdr:to>
    <xdr:sp macro="" textlink="">
      <xdr:nvSpPr>
        <xdr:cNvPr id="9" name="AutoShape 4" descr="Груши половинки в сиропе, Sunfeel, 2650 мл., купить в от 589.22 руб. с  доставкой в интернет-магазине tortila63.ru">
          <a:extLst>
            <a:ext uri="{FF2B5EF4-FFF2-40B4-BE49-F238E27FC236}">
              <a16:creationId xmlns="" xmlns:a16="http://schemas.microsoft.com/office/drawing/2014/main" id="{E5D6D1FE-46D2-4DB1-A34E-A2AD2DDD3EF4}"/>
            </a:ext>
          </a:extLst>
        </xdr:cNvPr>
        <xdr:cNvSpPr>
          <a:spLocks noChangeAspect="1" noChangeArrowheads="1"/>
        </xdr:cNvSpPr>
      </xdr:nvSpPr>
      <xdr:spPr bwMode="auto">
        <a:xfrm>
          <a:off x="6829425" y="49549050"/>
          <a:ext cx="304800" cy="300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403</xdr:row>
      <xdr:rowOff>0</xdr:rowOff>
    </xdr:from>
    <xdr:to>
      <xdr:col>5</xdr:col>
      <xdr:colOff>304800</xdr:colOff>
      <xdr:row>404</xdr:row>
      <xdr:rowOff>100745</xdr:rowOff>
    </xdr:to>
    <xdr:sp macro="" textlink="">
      <xdr:nvSpPr>
        <xdr:cNvPr id="10" name="AutoShape 3" descr="Оливки Granata Гиганти, купить в интернет магазине">
          <a:extLst>
            <a:ext uri="{FF2B5EF4-FFF2-40B4-BE49-F238E27FC236}">
              <a16:creationId xmlns="" xmlns:a16="http://schemas.microsoft.com/office/drawing/2014/main" id="{810C79FA-D942-4E3A-AA55-F2B24EA17816}"/>
            </a:ext>
          </a:extLst>
        </xdr:cNvPr>
        <xdr:cNvSpPr>
          <a:spLocks noChangeAspect="1" noChangeArrowheads="1"/>
        </xdr:cNvSpPr>
      </xdr:nvSpPr>
      <xdr:spPr bwMode="auto">
        <a:xfrm>
          <a:off x="6829425" y="49549050"/>
          <a:ext cx="304800" cy="300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403</xdr:row>
      <xdr:rowOff>0</xdr:rowOff>
    </xdr:from>
    <xdr:ext cx="304800" cy="304800"/>
    <xdr:sp macro="" textlink="">
      <xdr:nvSpPr>
        <xdr:cNvPr id="11" name="AutoShape 3" descr="Оливки Granata Гиганти, купить в интернет магазине">
          <a:extLst>
            <a:ext uri="{FF2B5EF4-FFF2-40B4-BE49-F238E27FC236}">
              <a16:creationId xmlns="" xmlns:a16="http://schemas.microsoft.com/office/drawing/2014/main" id="{48E899D1-FD37-44EC-A75F-F87EADDAB798}"/>
            </a:ext>
          </a:extLst>
        </xdr:cNvPr>
        <xdr:cNvSpPr>
          <a:spLocks noChangeAspect="1" noChangeArrowheads="1"/>
        </xdr:cNvSpPr>
      </xdr:nvSpPr>
      <xdr:spPr bwMode="auto">
        <a:xfrm>
          <a:off x="6829425" y="495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0</xdr:colOff>
      <xdr:row>403</xdr:row>
      <xdr:rowOff>0</xdr:rowOff>
    </xdr:from>
    <xdr:to>
      <xdr:col>5</xdr:col>
      <xdr:colOff>304800</xdr:colOff>
      <xdr:row>404</xdr:row>
      <xdr:rowOff>100745</xdr:rowOff>
    </xdr:to>
    <xdr:sp macro="" textlink="">
      <xdr:nvSpPr>
        <xdr:cNvPr id="12" name="AutoShape 1" descr="Оливки Granata Гиганти, купить в интернет магазине">
          <a:extLst>
            <a:ext uri="{FF2B5EF4-FFF2-40B4-BE49-F238E27FC236}">
              <a16:creationId xmlns="" xmlns:a16="http://schemas.microsoft.com/office/drawing/2014/main" id="{54FF1066-598A-4895-9C1B-F53AF7A2D5E4}"/>
            </a:ext>
          </a:extLst>
        </xdr:cNvPr>
        <xdr:cNvSpPr>
          <a:spLocks noChangeAspect="1" noChangeArrowheads="1"/>
        </xdr:cNvSpPr>
      </xdr:nvSpPr>
      <xdr:spPr bwMode="auto">
        <a:xfrm>
          <a:off x="6829425" y="49549050"/>
          <a:ext cx="304800" cy="300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403</xdr:row>
      <xdr:rowOff>0</xdr:rowOff>
    </xdr:from>
    <xdr:to>
      <xdr:col>5</xdr:col>
      <xdr:colOff>304800</xdr:colOff>
      <xdr:row>404</xdr:row>
      <xdr:rowOff>98543</xdr:rowOff>
    </xdr:to>
    <xdr:sp macro="" textlink="">
      <xdr:nvSpPr>
        <xdr:cNvPr id="13" name="AutoShape 1" descr="Соус Зелёный чили Tamaki">
          <a:extLst>
            <a:ext uri="{FF2B5EF4-FFF2-40B4-BE49-F238E27FC236}">
              <a16:creationId xmlns="" xmlns:a16="http://schemas.microsoft.com/office/drawing/2014/main" id="{1753EA58-D945-4E66-A778-9BE5990A5F6C}"/>
            </a:ext>
          </a:extLst>
        </xdr:cNvPr>
        <xdr:cNvSpPr>
          <a:spLocks noChangeAspect="1" noChangeArrowheads="1"/>
        </xdr:cNvSpPr>
      </xdr:nvSpPr>
      <xdr:spPr bwMode="auto">
        <a:xfrm>
          <a:off x="6829425" y="52901850"/>
          <a:ext cx="304800" cy="297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403</xdr:row>
      <xdr:rowOff>0</xdr:rowOff>
    </xdr:from>
    <xdr:to>
      <xdr:col>5</xdr:col>
      <xdr:colOff>304800</xdr:colOff>
      <xdr:row>404</xdr:row>
      <xdr:rowOff>98543</xdr:rowOff>
    </xdr:to>
    <xdr:sp macro="" textlink="">
      <xdr:nvSpPr>
        <xdr:cNvPr id="14" name="AutoShape 2" descr="https://tamaki.ru/upload/resize_cache/webp/iblock/e3d/496_496_1/5nxcqnk22a0smk07yozeqamovp7dgr05.webp">
          <a:extLst>
            <a:ext uri="{FF2B5EF4-FFF2-40B4-BE49-F238E27FC236}">
              <a16:creationId xmlns="" xmlns:a16="http://schemas.microsoft.com/office/drawing/2014/main" id="{F79FCDAC-BE2B-428A-AF1C-68C17740AD0C}"/>
            </a:ext>
          </a:extLst>
        </xdr:cNvPr>
        <xdr:cNvSpPr>
          <a:spLocks noChangeAspect="1" noChangeArrowheads="1"/>
        </xdr:cNvSpPr>
      </xdr:nvSpPr>
      <xdr:spPr bwMode="auto">
        <a:xfrm>
          <a:off x="6829425" y="52901850"/>
          <a:ext cx="304800" cy="297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304800</xdr:colOff>
      <xdr:row>499</xdr:row>
      <xdr:rowOff>147636</xdr:rowOff>
    </xdr:to>
    <xdr:sp macro="" textlink="">
      <xdr:nvSpPr>
        <xdr:cNvPr id="15" name="AutoShape 2" descr="Оливки Granata Гиганти, купить в интернет магазине">
          <a:extLst>
            <a:ext uri="{FF2B5EF4-FFF2-40B4-BE49-F238E27FC236}">
              <a16:creationId xmlns="" xmlns:a16="http://schemas.microsoft.com/office/drawing/2014/main" id="{218F8B33-AE0C-4A21-A6B4-78239DE6DA3B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300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304800</xdr:colOff>
      <xdr:row>499</xdr:row>
      <xdr:rowOff>147637</xdr:rowOff>
    </xdr:to>
    <xdr:sp macro="" textlink="">
      <xdr:nvSpPr>
        <xdr:cNvPr id="16" name="AutoShape 6" descr="Перец черри острый &amp;quot;SARDES&amp;quot; , 350/180г — купить в интернет-магазине OZON с  быстрой доставкой">
          <a:extLst>
            <a:ext uri="{FF2B5EF4-FFF2-40B4-BE49-F238E27FC236}">
              <a16:creationId xmlns="" xmlns:a16="http://schemas.microsoft.com/office/drawing/2014/main" id="{BF5125A7-DF85-447E-9C86-90EB95E87792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300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304800</xdr:colOff>
      <xdr:row>499</xdr:row>
      <xdr:rowOff>147637</xdr:rowOff>
    </xdr:to>
    <xdr:sp macro="" textlink="">
      <xdr:nvSpPr>
        <xdr:cNvPr id="17" name="AutoShape 7" descr="Перец черри острый &amp;quot;SARDES&amp;quot; , 350/180г — купить в интернет-магазине OZON с  быстрой доставкой">
          <a:extLst>
            <a:ext uri="{FF2B5EF4-FFF2-40B4-BE49-F238E27FC236}">
              <a16:creationId xmlns="" xmlns:a16="http://schemas.microsoft.com/office/drawing/2014/main" id="{B44D9DEC-454D-4408-8993-938799C861D1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300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304800</xdr:colOff>
      <xdr:row>499</xdr:row>
      <xdr:rowOff>147637</xdr:rowOff>
    </xdr:to>
    <xdr:sp macro="" textlink="">
      <xdr:nvSpPr>
        <xdr:cNvPr id="18" name="AutoShape 8" descr="Перец черри острый &amp;quot;SARDES&amp;quot; , 350/180г — купить в интернет-магазине OZON с  быстрой доставкой">
          <a:extLst>
            <a:ext uri="{FF2B5EF4-FFF2-40B4-BE49-F238E27FC236}">
              <a16:creationId xmlns="" xmlns:a16="http://schemas.microsoft.com/office/drawing/2014/main" id="{0D7EE956-DBFE-4370-AFEA-50BC1C33B825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300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304800</xdr:colOff>
      <xdr:row>499</xdr:row>
      <xdr:rowOff>147637</xdr:rowOff>
    </xdr:to>
    <xdr:sp macro="" textlink="">
      <xdr:nvSpPr>
        <xdr:cNvPr id="19" name="AutoShape 4" descr="Манго Sunfeel дольки в сиропе 425 мл: купить в Москве с доставкой всего за  129 руб. | Интернет-магазин Apeti.ru">
          <a:extLst>
            <a:ext uri="{FF2B5EF4-FFF2-40B4-BE49-F238E27FC236}">
              <a16:creationId xmlns="" xmlns:a16="http://schemas.microsoft.com/office/drawing/2014/main" id="{60F9E5AE-E45C-493B-B99F-5672264CC25C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300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304800</xdr:colOff>
      <xdr:row>499</xdr:row>
      <xdr:rowOff>147637</xdr:rowOff>
    </xdr:to>
    <xdr:sp macro="" textlink="">
      <xdr:nvSpPr>
        <xdr:cNvPr id="20" name="AutoShape 2" descr="Груши половинки в сиропе, Sunfeel, 2650 мл., купить в от 589.22 руб. с  доставкой в интернет-магазине tortila63.ru">
          <a:extLst>
            <a:ext uri="{FF2B5EF4-FFF2-40B4-BE49-F238E27FC236}">
              <a16:creationId xmlns="" xmlns:a16="http://schemas.microsoft.com/office/drawing/2014/main" id="{FAA79033-AAEB-4AE4-B3EF-CD7BECAD9076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300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304800</xdr:colOff>
      <xdr:row>499</xdr:row>
      <xdr:rowOff>147637</xdr:rowOff>
    </xdr:to>
    <xdr:sp macro="" textlink="">
      <xdr:nvSpPr>
        <xdr:cNvPr id="21" name="AutoShape 3" descr="Груши половинки в сиропе, Sunfeel, 2650 мл., купить в от 589.22 руб. с  доставкой в интернет-магазине tortila63.ru">
          <a:extLst>
            <a:ext uri="{FF2B5EF4-FFF2-40B4-BE49-F238E27FC236}">
              <a16:creationId xmlns="" xmlns:a16="http://schemas.microsoft.com/office/drawing/2014/main" id="{4BC6BC7E-E6C8-411F-A74F-59672457707B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300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304800</xdr:colOff>
      <xdr:row>499</xdr:row>
      <xdr:rowOff>147637</xdr:rowOff>
    </xdr:to>
    <xdr:sp macro="" textlink="">
      <xdr:nvSpPr>
        <xdr:cNvPr id="22" name="AutoShape 4" descr="Груши половинки в сиропе, Sunfeel, 2650 мл., купить в от 589.22 руб. с  доставкой в интернет-магазине tortila63.ru">
          <a:extLst>
            <a:ext uri="{FF2B5EF4-FFF2-40B4-BE49-F238E27FC236}">
              <a16:creationId xmlns="" xmlns:a16="http://schemas.microsoft.com/office/drawing/2014/main" id="{4F6B1848-42D6-4A3D-9D0F-49C74CF9646B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300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304800</xdr:colOff>
      <xdr:row>499</xdr:row>
      <xdr:rowOff>147636</xdr:rowOff>
    </xdr:to>
    <xdr:sp macro="" textlink="">
      <xdr:nvSpPr>
        <xdr:cNvPr id="23" name="AutoShape 3" descr="Оливки Granata Гиганти, купить в интернет магазине">
          <a:extLst>
            <a:ext uri="{FF2B5EF4-FFF2-40B4-BE49-F238E27FC236}">
              <a16:creationId xmlns="" xmlns:a16="http://schemas.microsoft.com/office/drawing/2014/main" id="{70436EE0-D99E-417F-B3CE-488A687333C6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300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498</xdr:row>
      <xdr:rowOff>0</xdr:rowOff>
    </xdr:from>
    <xdr:ext cx="304800" cy="304800"/>
    <xdr:sp macro="" textlink="">
      <xdr:nvSpPr>
        <xdr:cNvPr id="24" name="AutoShape 3" descr="Оливки Granata Гиганти, купить в интернет магазине">
          <a:extLst>
            <a:ext uri="{FF2B5EF4-FFF2-40B4-BE49-F238E27FC236}">
              <a16:creationId xmlns="" xmlns:a16="http://schemas.microsoft.com/office/drawing/2014/main" id="{7B761026-12B3-436B-8C03-F85FE49B71B3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0</xdr:colOff>
      <xdr:row>498</xdr:row>
      <xdr:rowOff>0</xdr:rowOff>
    </xdr:from>
    <xdr:to>
      <xdr:col>5</xdr:col>
      <xdr:colOff>304800</xdr:colOff>
      <xdr:row>499</xdr:row>
      <xdr:rowOff>147636</xdr:rowOff>
    </xdr:to>
    <xdr:sp macro="" textlink="">
      <xdr:nvSpPr>
        <xdr:cNvPr id="25" name="AutoShape 1" descr="Оливки Granata Гиганти, купить в интернет магазине">
          <a:extLst>
            <a:ext uri="{FF2B5EF4-FFF2-40B4-BE49-F238E27FC236}">
              <a16:creationId xmlns="" xmlns:a16="http://schemas.microsoft.com/office/drawing/2014/main" id="{8DAD50BB-10D3-4005-B8F9-F9DF8939D5E8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300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304800</xdr:colOff>
      <xdr:row>499</xdr:row>
      <xdr:rowOff>145434</xdr:rowOff>
    </xdr:to>
    <xdr:sp macro="" textlink="">
      <xdr:nvSpPr>
        <xdr:cNvPr id="26" name="AutoShape 1" descr="Соус Зелёный чили Tamaki">
          <a:extLst>
            <a:ext uri="{FF2B5EF4-FFF2-40B4-BE49-F238E27FC236}">
              <a16:creationId xmlns="" xmlns:a16="http://schemas.microsoft.com/office/drawing/2014/main" id="{068556D2-C4DC-43C3-B76B-FFCE7F5E1BE7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297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304800</xdr:colOff>
      <xdr:row>499</xdr:row>
      <xdr:rowOff>145434</xdr:rowOff>
    </xdr:to>
    <xdr:sp macro="" textlink="">
      <xdr:nvSpPr>
        <xdr:cNvPr id="27" name="AutoShape 2" descr="https://tamaki.ru/upload/resize_cache/webp/iblock/e3d/496_496_1/5nxcqnk22a0smk07yozeqamovp7dgr05.webp">
          <a:extLst>
            <a:ext uri="{FF2B5EF4-FFF2-40B4-BE49-F238E27FC236}">
              <a16:creationId xmlns="" xmlns:a16="http://schemas.microsoft.com/office/drawing/2014/main" id="{55667878-BCE5-4BA9-BE33-83EC03A73587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8380"/>
          <a:ext cx="304800" cy="297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  <pageSetUpPr fitToPage="1"/>
  </sheetPr>
  <dimension ref="A1:J511"/>
  <sheetViews>
    <sheetView tabSelected="1" zoomScale="130" zoomScaleNormal="130" workbookViewId="0">
      <pane ySplit="2" topLeftCell="A242" activePane="bottomLeft" state="frozen"/>
      <selection pane="bottomLeft" activeCell="F259" sqref="F259"/>
    </sheetView>
  </sheetViews>
  <sheetFormatPr defaultColWidth="9.140625" defaultRowHeight="12" x14ac:dyDescent="0.2"/>
  <cols>
    <col min="1" max="1" width="3.7109375" style="38" customWidth="1"/>
    <col min="2" max="2" width="62" style="6" customWidth="1"/>
    <col min="3" max="3" width="8.140625" style="38" customWidth="1"/>
    <col min="4" max="4" width="7.140625" style="38" customWidth="1"/>
    <col min="5" max="5" width="4" style="14" customWidth="1"/>
    <col min="6" max="6" width="6.28515625" style="13" customWidth="1"/>
    <col min="7" max="7" width="4.5703125" style="13" customWidth="1"/>
    <col min="8" max="9" width="6.85546875" style="13" customWidth="1"/>
    <col min="10" max="10" width="13.140625" style="13" hidden="1" customWidth="1"/>
    <col min="11" max="16384" width="9.140625" style="6"/>
  </cols>
  <sheetData>
    <row r="1" spans="1:10" ht="15.75" x14ac:dyDescent="0.25">
      <c r="A1" s="90" t="s">
        <v>648</v>
      </c>
      <c r="B1" s="90"/>
      <c r="C1" s="90"/>
      <c r="D1" s="90"/>
      <c r="E1" s="90"/>
      <c r="F1" s="90"/>
      <c r="G1" s="90"/>
      <c r="H1" s="90"/>
      <c r="I1" s="74"/>
    </row>
    <row r="2" spans="1:10" ht="60" customHeight="1" x14ac:dyDescent="0.2">
      <c r="A2" s="27" t="s">
        <v>0</v>
      </c>
      <c r="B2" s="4" t="s">
        <v>1</v>
      </c>
      <c r="C2" s="62" t="s">
        <v>122</v>
      </c>
      <c r="D2" s="62" t="s">
        <v>123</v>
      </c>
      <c r="E2" s="27" t="s">
        <v>448</v>
      </c>
      <c r="F2" s="4" t="s">
        <v>3</v>
      </c>
      <c r="G2" s="4" t="s">
        <v>4</v>
      </c>
      <c r="H2" s="39" t="s">
        <v>2</v>
      </c>
      <c r="I2" s="75" t="s">
        <v>447</v>
      </c>
      <c r="J2" s="21" t="s">
        <v>254</v>
      </c>
    </row>
    <row r="3" spans="1:10" ht="15.75" x14ac:dyDescent="0.25">
      <c r="A3" s="97" t="s">
        <v>617</v>
      </c>
      <c r="B3" s="97"/>
      <c r="C3" s="97"/>
      <c r="D3" s="97"/>
      <c r="E3" s="97"/>
      <c r="F3" s="97"/>
      <c r="G3" s="97"/>
      <c r="H3" s="98"/>
      <c r="I3" s="60"/>
      <c r="J3" s="20"/>
    </row>
    <row r="4" spans="1:10" x14ac:dyDescent="0.2">
      <c r="A4" s="27">
        <v>1</v>
      </c>
      <c r="B4" s="49" t="s">
        <v>476</v>
      </c>
      <c r="C4" s="27" t="s">
        <v>17</v>
      </c>
      <c r="D4" s="27" t="s">
        <v>241</v>
      </c>
      <c r="E4" s="32"/>
      <c r="F4" s="33">
        <v>13.9</v>
      </c>
      <c r="G4" s="8">
        <v>10</v>
      </c>
      <c r="H4" s="40">
        <f>F4*1.1</f>
        <v>15.290000000000001</v>
      </c>
      <c r="I4" s="40"/>
      <c r="J4" s="20"/>
    </row>
    <row r="5" spans="1:10" x14ac:dyDescent="0.2">
      <c r="A5" s="27">
        <v>2</v>
      </c>
      <c r="B5" s="49" t="s">
        <v>477</v>
      </c>
      <c r="C5" s="27" t="s">
        <v>17</v>
      </c>
      <c r="D5" s="27" t="s">
        <v>241</v>
      </c>
      <c r="E5" s="32"/>
      <c r="F5" s="33">
        <v>7.15</v>
      </c>
      <c r="G5" s="8">
        <v>10</v>
      </c>
      <c r="H5" s="40">
        <f t="shared" ref="H5:H21" si="0">F5*1.1</f>
        <v>7.8650000000000011</v>
      </c>
      <c r="I5" s="40"/>
      <c r="J5" s="20"/>
    </row>
    <row r="6" spans="1:10" x14ac:dyDescent="0.2">
      <c r="A6" s="27">
        <v>3</v>
      </c>
      <c r="B6" s="49" t="s">
        <v>478</v>
      </c>
      <c r="C6" s="27" t="s">
        <v>17</v>
      </c>
      <c r="D6" s="27" t="s">
        <v>172</v>
      </c>
      <c r="E6" s="32"/>
      <c r="F6" s="33">
        <v>6.5</v>
      </c>
      <c r="G6" s="8">
        <v>10</v>
      </c>
      <c r="H6" s="40">
        <f t="shared" ref="H6:H10" si="1">F6*1.1</f>
        <v>7.15</v>
      </c>
      <c r="I6" s="40"/>
      <c r="J6" s="20"/>
    </row>
    <row r="7" spans="1:10" ht="15.6" customHeight="1" x14ac:dyDescent="0.2">
      <c r="A7" s="27">
        <v>4</v>
      </c>
      <c r="B7" s="47" t="s">
        <v>469</v>
      </c>
      <c r="C7" s="27" t="s">
        <v>17</v>
      </c>
      <c r="D7" s="27" t="s">
        <v>336</v>
      </c>
      <c r="E7" s="32"/>
      <c r="F7" s="33">
        <v>8.9</v>
      </c>
      <c r="G7" s="24">
        <v>10</v>
      </c>
      <c r="H7" s="40">
        <f t="shared" si="1"/>
        <v>9.7900000000000009</v>
      </c>
      <c r="I7" s="40"/>
      <c r="J7" s="20"/>
    </row>
    <row r="8" spans="1:10" ht="15.6" customHeight="1" x14ac:dyDescent="0.2">
      <c r="A8" s="27">
        <v>5</v>
      </c>
      <c r="B8" s="47" t="s">
        <v>475</v>
      </c>
      <c r="C8" s="27" t="s">
        <v>17</v>
      </c>
      <c r="D8" s="27" t="s">
        <v>336</v>
      </c>
      <c r="E8" s="32"/>
      <c r="F8" s="33">
        <v>8.15</v>
      </c>
      <c r="G8" s="24">
        <v>10</v>
      </c>
      <c r="H8" s="40">
        <f t="shared" si="1"/>
        <v>8.9650000000000016</v>
      </c>
      <c r="I8" s="40"/>
      <c r="J8" s="20"/>
    </row>
    <row r="9" spans="1:10" ht="15.6" customHeight="1" x14ac:dyDescent="0.2">
      <c r="A9" s="27">
        <v>6</v>
      </c>
      <c r="B9" s="47" t="s">
        <v>471</v>
      </c>
      <c r="C9" s="27" t="s">
        <v>17</v>
      </c>
      <c r="D9" s="27" t="s">
        <v>336</v>
      </c>
      <c r="E9" s="32"/>
      <c r="F9" s="33">
        <v>13.5</v>
      </c>
      <c r="G9" s="24">
        <v>10</v>
      </c>
      <c r="H9" s="40">
        <f t="shared" si="1"/>
        <v>14.850000000000001</v>
      </c>
      <c r="I9" s="40"/>
      <c r="J9" s="20"/>
    </row>
    <row r="10" spans="1:10" x14ac:dyDescent="0.2">
      <c r="A10" s="27">
        <v>7</v>
      </c>
      <c r="B10" s="49" t="s">
        <v>470</v>
      </c>
      <c r="C10" s="27" t="s">
        <v>17</v>
      </c>
      <c r="D10" s="27" t="s">
        <v>241</v>
      </c>
      <c r="E10" s="32"/>
      <c r="F10" s="33">
        <v>14.5</v>
      </c>
      <c r="G10" s="24">
        <v>10</v>
      </c>
      <c r="H10" s="40">
        <f t="shared" si="1"/>
        <v>15.950000000000001</v>
      </c>
      <c r="I10" s="40"/>
      <c r="J10" s="20"/>
    </row>
    <row r="11" spans="1:10" x14ac:dyDescent="0.2">
      <c r="A11" s="27">
        <v>10</v>
      </c>
      <c r="B11" s="47" t="s">
        <v>457</v>
      </c>
      <c r="C11" s="27" t="s">
        <v>17</v>
      </c>
      <c r="D11" s="27" t="s">
        <v>241</v>
      </c>
      <c r="E11" s="32"/>
      <c r="F11" s="33">
        <v>7.9</v>
      </c>
      <c r="G11" s="24">
        <v>10</v>
      </c>
      <c r="H11" s="40">
        <f t="shared" si="0"/>
        <v>8.6900000000000013</v>
      </c>
      <c r="I11" s="40"/>
      <c r="J11" s="20"/>
    </row>
    <row r="12" spans="1:10" x14ac:dyDescent="0.2">
      <c r="A12" s="27">
        <v>11</v>
      </c>
      <c r="B12" s="47" t="s">
        <v>337</v>
      </c>
      <c r="C12" s="27" t="s">
        <v>17</v>
      </c>
      <c r="D12" s="27" t="s">
        <v>186</v>
      </c>
      <c r="E12" s="32"/>
      <c r="F12" s="33">
        <v>4.5999999999999996</v>
      </c>
      <c r="G12" s="24">
        <v>10</v>
      </c>
      <c r="H12" s="40">
        <f t="shared" si="0"/>
        <v>5.0599999999999996</v>
      </c>
      <c r="I12" s="40"/>
      <c r="J12" s="20"/>
    </row>
    <row r="13" spans="1:10" x14ac:dyDescent="0.2">
      <c r="A13" s="27">
        <v>12</v>
      </c>
      <c r="B13" s="47" t="s">
        <v>338</v>
      </c>
      <c r="C13" s="27" t="s">
        <v>17</v>
      </c>
      <c r="D13" s="27" t="s">
        <v>186</v>
      </c>
      <c r="E13" s="32"/>
      <c r="F13" s="33">
        <v>3</v>
      </c>
      <c r="G13" s="24">
        <v>10</v>
      </c>
      <c r="H13" s="40">
        <f t="shared" si="0"/>
        <v>3.3000000000000003</v>
      </c>
      <c r="I13" s="40"/>
      <c r="J13" s="20"/>
    </row>
    <row r="14" spans="1:10" x14ac:dyDescent="0.2">
      <c r="A14" s="27">
        <v>13</v>
      </c>
      <c r="B14" s="47" t="s">
        <v>552</v>
      </c>
      <c r="C14" s="27" t="s">
        <v>17</v>
      </c>
      <c r="D14" s="27" t="s">
        <v>241</v>
      </c>
      <c r="E14" s="32"/>
      <c r="F14" s="33">
        <v>24.29</v>
      </c>
      <c r="G14" s="24">
        <v>10</v>
      </c>
      <c r="H14" s="40">
        <f t="shared" ref="H14:H15" si="2">F14*1.1</f>
        <v>26.719000000000001</v>
      </c>
      <c r="I14" s="40"/>
      <c r="J14" s="20"/>
    </row>
    <row r="15" spans="1:10" x14ac:dyDescent="0.2">
      <c r="A15" s="27">
        <v>14</v>
      </c>
      <c r="B15" s="47" t="s">
        <v>268</v>
      </c>
      <c r="C15" s="27" t="s">
        <v>17</v>
      </c>
      <c r="D15" s="27" t="s">
        <v>241</v>
      </c>
      <c r="E15" s="32"/>
      <c r="F15" s="33">
        <v>22.5</v>
      </c>
      <c r="G15" s="24">
        <v>10</v>
      </c>
      <c r="H15" s="40">
        <f t="shared" si="2"/>
        <v>24.750000000000004</v>
      </c>
      <c r="I15" s="40"/>
      <c r="J15" s="20"/>
    </row>
    <row r="16" spans="1:10" x14ac:dyDescent="0.2">
      <c r="A16" s="27">
        <v>15</v>
      </c>
      <c r="B16" s="47" t="s">
        <v>513</v>
      </c>
      <c r="C16" s="27" t="s">
        <v>17</v>
      </c>
      <c r="D16" s="27" t="s">
        <v>241</v>
      </c>
      <c r="E16" s="32"/>
      <c r="F16" s="33">
        <v>8.75</v>
      </c>
      <c r="G16" s="24">
        <v>10</v>
      </c>
      <c r="H16" s="40">
        <f t="shared" ref="H16" si="3">F16*1.1</f>
        <v>9.625</v>
      </c>
      <c r="I16" s="40"/>
      <c r="J16" s="20"/>
    </row>
    <row r="17" spans="1:10" x14ac:dyDescent="0.2">
      <c r="A17" s="27">
        <v>15</v>
      </c>
      <c r="B17" s="49" t="s">
        <v>479</v>
      </c>
      <c r="C17" s="27" t="s">
        <v>17</v>
      </c>
      <c r="D17" s="27"/>
      <c r="E17" s="32"/>
      <c r="F17" s="33"/>
      <c r="G17" s="24">
        <v>10</v>
      </c>
      <c r="H17" s="40">
        <f t="shared" si="0"/>
        <v>0</v>
      </c>
      <c r="I17" s="86"/>
      <c r="J17" s="20"/>
    </row>
    <row r="18" spans="1:10" x14ac:dyDescent="0.2">
      <c r="A18" s="27">
        <v>16</v>
      </c>
      <c r="B18" s="49" t="s">
        <v>480</v>
      </c>
      <c r="C18" s="27" t="s">
        <v>17</v>
      </c>
      <c r="D18" s="27"/>
      <c r="E18" s="32"/>
      <c r="F18" s="33">
        <v>24.9</v>
      </c>
      <c r="G18" s="24">
        <v>10</v>
      </c>
      <c r="H18" s="40">
        <f t="shared" si="0"/>
        <v>27.39</v>
      </c>
      <c r="I18" s="86"/>
      <c r="J18" s="20"/>
    </row>
    <row r="19" spans="1:10" x14ac:dyDescent="0.2">
      <c r="A19" s="27">
        <v>18</v>
      </c>
      <c r="B19" s="49" t="s">
        <v>602</v>
      </c>
      <c r="C19" s="27" t="s">
        <v>17</v>
      </c>
      <c r="D19" s="27"/>
      <c r="E19" s="32"/>
      <c r="F19" s="33">
        <v>45</v>
      </c>
      <c r="G19" s="24">
        <v>10</v>
      </c>
      <c r="H19" s="40">
        <f t="shared" si="0"/>
        <v>49.500000000000007</v>
      </c>
      <c r="I19" s="86"/>
      <c r="J19" s="20"/>
    </row>
    <row r="20" spans="1:10" ht="15.75" customHeight="1" x14ac:dyDescent="0.2">
      <c r="A20" s="27">
        <v>20</v>
      </c>
      <c r="B20" s="49" t="s">
        <v>269</v>
      </c>
      <c r="C20" s="27" t="s">
        <v>17</v>
      </c>
      <c r="D20" s="27"/>
      <c r="E20" s="32"/>
      <c r="F20" s="33">
        <v>25.9</v>
      </c>
      <c r="G20" s="24">
        <v>10</v>
      </c>
      <c r="H20" s="40">
        <f t="shared" si="0"/>
        <v>28.490000000000002</v>
      </c>
      <c r="I20" s="86"/>
      <c r="J20" s="20"/>
    </row>
    <row r="21" spans="1:10" x14ac:dyDescent="0.2">
      <c r="A21" s="27">
        <v>22</v>
      </c>
      <c r="B21" s="49" t="s">
        <v>191</v>
      </c>
      <c r="C21" s="27" t="s">
        <v>17</v>
      </c>
      <c r="D21" s="27"/>
      <c r="E21" s="32"/>
      <c r="F21" s="33">
        <v>33</v>
      </c>
      <c r="G21" s="24">
        <v>10</v>
      </c>
      <c r="H21" s="40">
        <f t="shared" si="0"/>
        <v>36.300000000000004</v>
      </c>
      <c r="I21" s="86"/>
      <c r="J21" s="20"/>
    </row>
    <row r="22" spans="1:10" x14ac:dyDescent="0.2">
      <c r="A22" s="96" t="s">
        <v>173</v>
      </c>
      <c r="B22" s="96"/>
      <c r="C22" s="96"/>
      <c r="D22" s="96"/>
      <c r="E22" s="96"/>
      <c r="F22" s="96"/>
      <c r="G22" s="96"/>
      <c r="H22" s="91"/>
      <c r="I22" s="56"/>
      <c r="J22" s="20"/>
    </row>
    <row r="23" spans="1:10" ht="14.25" customHeight="1" x14ac:dyDescent="0.2">
      <c r="A23" s="4">
        <v>1</v>
      </c>
      <c r="B23" s="49" t="s">
        <v>296</v>
      </c>
      <c r="C23" s="4" t="s">
        <v>17</v>
      </c>
      <c r="D23" s="4"/>
      <c r="E23" s="28">
        <v>5</v>
      </c>
      <c r="F23" s="7">
        <v>24.62</v>
      </c>
      <c r="G23" s="8">
        <v>10</v>
      </c>
      <c r="H23" s="40">
        <f>F23*1.1</f>
        <v>27.082000000000004</v>
      </c>
      <c r="I23" s="40"/>
      <c r="J23" s="20"/>
    </row>
    <row r="24" spans="1:10" x14ac:dyDescent="0.2">
      <c r="A24" s="96" t="s">
        <v>608</v>
      </c>
      <c r="B24" s="96"/>
      <c r="C24" s="96"/>
      <c r="D24" s="96"/>
      <c r="E24" s="96"/>
      <c r="F24" s="96"/>
      <c r="G24" s="96"/>
      <c r="H24" s="91"/>
      <c r="I24" s="56"/>
      <c r="J24" s="20"/>
    </row>
    <row r="25" spans="1:10" x14ac:dyDescent="0.2">
      <c r="A25" s="4">
        <v>1</v>
      </c>
      <c r="B25" s="49" t="s">
        <v>607</v>
      </c>
      <c r="C25" s="4" t="s">
        <v>16</v>
      </c>
      <c r="D25" s="4" t="s">
        <v>41</v>
      </c>
      <c r="E25" s="28">
        <v>8</v>
      </c>
      <c r="F25" s="7">
        <v>15.8</v>
      </c>
      <c r="G25" s="8">
        <v>20</v>
      </c>
      <c r="H25" s="40">
        <f>F25*1.2</f>
        <v>18.96</v>
      </c>
      <c r="I25" s="40"/>
      <c r="J25" s="20"/>
    </row>
    <row r="26" spans="1:10" x14ac:dyDescent="0.2">
      <c r="A26" s="4">
        <v>2</v>
      </c>
      <c r="B26" s="49" t="s">
        <v>604</v>
      </c>
      <c r="C26" s="4" t="s">
        <v>16</v>
      </c>
      <c r="D26" s="4" t="s">
        <v>41</v>
      </c>
      <c r="E26" s="28">
        <v>48</v>
      </c>
      <c r="F26" s="7">
        <v>10.4</v>
      </c>
      <c r="G26" s="8">
        <v>20</v>
      </c>
      <c r="H26" s="40">
        <f t="shared" ref="H26:H28" si="4">F26*1.2</f>
        <v>12.48</v>
      </c>
      <c r="I26" s="78"/>
      <c r="J26" s="20"/>
    </row>
    <row r="27" spans="1:10" x14ac:dyDescent="0.2">
      <c r="A27" s="4">
        <v>3</v>
      </c>
      <c r="B27" s="49" t="s">
        <v>605</v>
      </c>
      <c r="C27" s="4" t="s">
        <v>16</v>
      </c>
      <c r="D27" s="4" t="s">
        <v>41</v>
      </c>
      <c r="E27" s="28">
        <v>48</v>
      </c>
      <c r="F27" s="7">
        <v>9.1999999999999993</v>
      </c>
      <c r="G27" s="8">
        <v>20</v>
      </c>
      <c r="H27" s="40">
        <f t="shared" si="4"/>
        <v>11.04</v>
      </c>
      <c r="I27" s="78"/>
      <c r="J27" s="20"/>
    </row>
    <row r="28" spans="1:10" ht="24" x14ac:dyDescent="0.2">
      <c r="A28" s="4">
        <v>4</v>
      </c>
      <c r="B28" s="49" t="s">
        <v>606</v>
      </c>
      <c r="C28" s="4" t="s">
        <v>16</v>
      </c>
      <c r="D28" s="4" t="s">
        <v>41</v>
      </c>
      <c r="E28" s="28">
        <v>48</v>
      </c>
      <c r="F28" s="7">
        <v>6.15</v>
      </c>
      <c r="G28" s="8">
        <v>20</v>
      </c>
      <c r="H28" s="40">
        <f t="shared" si="4"/>
        <v>7.38</v>
      </c>
      <c r="I28" s="78"/>
      <c r="J28" s="20"/>
    </row>
    <row r="29" spans="1:10" ht="18" customHeight="1" x14ac:dyDescent="0.2">
      <c r="A29" s="94" t="s">
        <v>64</v>
      </c>
      <c r="B29" s="95"/>
      <c r="C29" s="95"/>
      <c r="D29" s="95"/>
      <c r="E29" s="95"/>
      <c r="F29" s="95"/>
      <c r="G29" s="95"/>
      <c r="H29" s="95"/>
      <c r="I29" s="59"/>
      <c r="J29" s="20"/>
    </row>
    <row r="30" spans="1:10" ht="24" x14ac:dyDescent="0.2">
      <c r="A30" s="17">
        <v>1</v>
      </c>
      <c r="B30" s="2" t="s">
        <v>426</v>
      </c>
      <c r="C30" s="4" t="s">
        <v>15</v>
      </c>
      <c r="D30" s="4" t="s">
        <v>427</v>
      </c>
      <c r="E30" s="5">
        <v>12</v>
      </c>
      <c r="F30" s="19">
        <v>21.5</v>
      </c>
      <c r="G30" s="8">
        <v>10</v>
      </c>
      <c r="H30" s="41">
        <f t="shared" ref="H30" si="5">F30*G30/100+F30</f>
        <v>23.65</v>
      </c>
      <c r="I30" s="41"/>
      <c r="J30" s="20"/>
    </row>
    <row r="31" spans="1:10" x14ac:dyDescent="0.2">
      <c r="A31" s="17">
        <v>2</v>
      </c>
      <c r="B31" s="2" t="s">
        <v>93</v>
      </c>
      <c r="C31" s="4" t="s">
        <v>15</v>
      </c>
      <c r="D31" s="4" t="s">
        <v>427</v>
      </c>
      <c r="E31" s="17">
        <v>12</v>
      </c>
      <c r="F31" s="15">
        <v>16.3</v>
      </c>
      <c r="G31" s="24">
        <v>10</v>
      </c>
      <c r="H31" s="42">
        <f t="shared" ref="H31" si="6">F31*G31/100+F31</f>
        <v>17.93</v>
      </c>
      <c r="I31" s="42"/>
      <c r="J31" s="20"/>
    </row>
    <row r="32" spans="1:10" x14ac:dyDescent="0.2">
      <c r="A32" s="17">
        <v>3</v>
      </c>
      <c r="B32" s="2" t="s">
        <v>509</v>
      </c>
      <c r="C32" s="4" t="s">
        <v>17</v>
      </c>
      <c r="D32" s="4" t="s">
        <v>427</v>
      </c>
      <c r="E32" s="17">
        <v>12</v>
      </c>
      <c r="F32" s="15">
        <v>12.2</v>
      </c>
      <c r="G32" s="24">
        <v>10</v>
      </c>
      <c r="H32" s="42">
        <f t="shared" ref="H32" si="7">F32*G32/100+F32</f>
        <v>13.42</v>
      </c>
      <c r="I32" s="42"/>
      <c r="J32" s="20"/>
    </row>
    <row r="33" spans="1:10" ht="15.75" customHeight="1" x14ac:dyDescent="0.2">
      <c r="A33" s="17">
        <v>4</v>
      </c>
      <c r="B33" s="2" t="s">
        <v>152</v>
      </c>
      <c r="C33" s="4" t="s">
        <v>15</v>
      </c>
      <c r="D33" s="4" t="s">
        <v>432</v>
      </c>
      <c r="E33" s="4">
        <v>20</v>
      </c>
      <c r="F33" s="22">
        <v>2.97</v>
      </c>
      <c r="G33" s="23">
        <v>10</v>
      </c>
      <c r="H33" s="43">
        <f>F33*G33/100+F33</f>
        <v>3.2670000000000003</v>
      </c>
      <c r="I33" s="43"/>
      <c r="J33" s="20"/>
    </row>
    <row r="34" spans="1:10" x14ac:dyDescent="0.2">
      <c r="A34" s="17">
        <v>5</v>
      </c>
      <c r="B34" s="26" t="s">
        <v>132</v>
      </c>
      <c r="C34" s="4" t="s">
        <v>15</v>
      </c>
      <c r="D34" s="4" t="s">
        <v>427</v>
      </c>
      <c r="E34" s="4">
        <v>12</v>
      </c>
      <c r="F34" s="19">
        <v>3.95</v>
      </c>
      <c r="G34" s="8">
        <v>10</v>
      </c>
      <c r="H34" s="41">
        <f t="shared" ref="H34:H35" si="8">F34*G34/100+F34</f>
        <v>4.3450000000000006</v>
      </c>
      <c r="I34" s="41"/>
      <c r="J34" s="20"/>
    </row>
    <row r="35" spans="1:10" x14ac:dyDescent="0.2">
      <c r="A35" s="17">
        <v>5</v>
      </c>
      <c r="B35" s="26" t="s">
        <v>295</v>
      </c>
      <c r="C35" s="4" t="s">
        <v>15</v>
      </c>
      <c r="D35" s="4" t="s">
        <v>427</v>
      </c>
      <c r="E35" s="4">
        <v>12</v>
      </c>
      <c r="F35" s="19">
        <v>2.97</v>
      </c>
      <c r="G35" s="8">
        <v>10</v>
      </c>
      <c r="H35" s="19">
        <f t="shared" si="8"/>
        <v>3.2670000000000003</v>
      </c>
      <c r="I35" s="19"/>
      <c r="J35" s="9"/>
    </row>
    <row r="36" spans="1:10" ht="12.75" customHeight="1" x14ac:dyDescent="0.2">
      <c r="A36" s="91" t="s">
        <v>62</v>
      </c>
      <c r="B36" s="92"/>
      <c r="C36" s="92"/>
      <c r="D36" s="92"/>
      <c r="E36" s="92"/>
      <c r="F36" s="92"/>
      <c r="G36" s="92"/>
      <c r="H36" s="92"/>
      <c r="I36" s="57"/>
      <c r="J36" s="20"/>
    </row>
    <row r="37" spans="1:10" ht="24" x14ac:dyDescent="0.2">
      <c r="A37" s="17">
        <v>1</v>
      </c>
      <c r="B37" s="2" t="s">
        <v>286</v>
      </c>
      <c r="C37" s="4" t="s">
        <v>15</v>
      </c>
      <c r="D37" s="4" t="s">
        <v>427</v>
      </c>
      <c r="E37" s="4">
        <v>12</v>
      </c>
      <c r="F37" s="22">
        <v>10.9</v>
      </c>
      <c r="G37" s="23">
        <v>20</v>
      </c>
      <c r="H37" s="22">
        <f t="shared" ref="H37:H38" si="9">F37*G37/100+F37</f>
        <v>13.08</v>
      </c>
      <c r="I37" s="22"/>
      <c r="J37" s="33"/>
    </row>
    <row r="38" spans="1:10" ht="24" x14ac:dyDescent="0.2">
      <c r="A38" s="17">
        <v>2</v>
      </c>
      <c r="B38" s="2" t="s">
        <v>287</v>
      </c>
      <c r="C38" s="4" t="s">
        <v>15</v>
      </c>
      <c r="D38" s="4" t="s">
        <v>427</v>
      </c>
      <c r="E38" s="4">
        <v>12</v>
      </c>
      <c r="F38" s="22">
        <v>12.5</v>
      </c>
      <c r="G38" s="23">
        <v>20</v>
      </c>
      <c r="H38" s="22">
        <f t="shared" si="9"/>
        <v>15</v>
      </c>
      <c r="I38" s="22"/>
      <c r="J38" s="33"/>
    </row>
    <row r="39" spans="1:10" ht="20.25" customHeight="1" x14ac:dyDescent="0.2">
      <c r="A39" s="91" t="s">
        <v>63</v>
      </c>
      <c r="B39" s="92"/>
      <c r="C39" s="92"/>
      <c r="D39" s="92"/>
      <c r="E39" s="92"/>
      <c r="F39" s="92"/>
      <c r="G39" s="92"/>
      <c r="H39" s="92"/>
      <c r="I39" s="57"/>
      <c r="J39" s="20"/>
    </row>
    <row r="40" spans="1:10" x14ac:dyDescent="0.2">
      <c r="A40" s="17">
        <v>1</v>
      </c>
      <c r="B40" s="2" t="s">
        <v>89</v>
      </c>
      <c r="C40" s="4" t="s">
        <v>15</v>
      </c>
      <c r="D40" s="4" t="s">
        <v>427</v>
      </c>
      <c r="E40" s="4">
        <v>12</v>
      </c>
      <c r="F40" s="22">
        <v>7.95</v>
      </c>
      <c r="G40" s="23">
        <v>20</v>
      </c>
      <c r="H40" s="43">
        <f t="shared" ref="H40" si="10">F40*G40/100+F40</f>
        <v>9.5400000000000009</v>
      </c>
      <c r="I40" s="43"/>
      <c r="J40" s="20"/>
    </row>
    <row r="41" spans="1:10" ht="15.75" customHeight="1" x14ac:dyDescent="0.2">
      <c r="A41" s="91" t="s">
        <v>640</v>
      </c>
      <c r="B41" s="92"/>
      <c r="C41" s="92"/>
      <c r="D41" s="92"/>
      <c r="E41" s="92"/>
      <c r="F41" s="92"/>
      <c r="G41" s="92"/>
      <c r="H41" s="92"/>
      <c r="I41" s="57"/>
      <c r="J41" s="20"/>
    </row>
    <row r="42" spans="1:10" x14ac:dyDescent="0.2">
      <c r="A42" s="17">
        <v>1</v>
      </c>
      <c r="B42" s="18" t="s">
        <v>48</v>
      </c>
      <c r="C42" s="4" t="s">
        <v>16</v>
      </c>
      <c r="D42" s="4" t="s">
        <v>47</v>
      </c>
      <c r="E42" s="4">
        <v>8</v>
      </c>
      <c r="F42" s="9">
        <v>9.4600000000000009</v>
      </c>
      <c r="G42" s="10">
        <v>20</v>
      </c>
      <c r="H42" s="41">
        <f>F42*G42/100+F42</f>
        <v>11.352</v>
      </c>
      <c r="I42" s="41"/>
      <c r="J42" s="20"/>
    </row>
    <row r="43" spans="1:10" x14ac:dyDescent="0.2">
      <c r="A43" s="17">
        <v>2</v>
      </c>
      <c r="B43" s="18" t="s">
        <v>145</v>
      </c>
      <c r="C43" s="4" t="s">
        <v>83</v>
      </c>
      <c r="D43" s="4" t="s">
        <v>47</v>
      </c>
      <c r="E43" s="4">
        <v>8</v>
      </c>
      <c r="F43" s="9">
        <v>8.8000000000000007</v>
      </c>
      <c r="G43" s="10">
        <v>20</v>
      </c>
      <c r="H43" s="41">
        <f>F43*G43/100+F43</f>
        <v>10.56</v>
      </c>
      <c r="I43" s="41"/>
      <c r="J43" s="20"/>
    </row>
    <row r="44" spans="1:10" x14ac:dyDescent="0.2">
      <c r="A44" s="17">
        <v>3</v>
      </c>
      <c r="B44" s="18" t="s">
        <v>595</v>
      </c>
      <c r="C44" s="4" t="s">
        <v>16</v>
      </c>
      <c r="D44" s="4" t="s">
        <v>40</v>
      </c>
      <c r="E44" s="4">
        <v>6</v>
      </c>
      <c r="F44" s="9">
        <v>10.4</v>
      </c>
      <c r="G44" s="10">
        <v>20</v>
      </c>
      <c r="H44" s="41">
        <f>F44*G44/100+F44</f>
        <v>12.48</v>
      </c>
      <c r="I44" s="41"/>
      <c r="J44" s="20"/>
    </row>
    <row r="45" spans="1:10" x14ac:dyDescent="0.2">
      <c r="A45" s="17">
        <v>4</v>
      </c>
      <c r="B45" s="52" t="s">
        <v>210</v>
      </c>
      <c r="C45" s="45" t="s">
        <v>201</v>
      </c>
      <c r="D45" s="4" t="s">
        <v>25</v>
      </c>
      <c r="E45" s="18">
        <v>6</v>
      </c>
      <c r="F45" s="12">
        <v>7.04</v>
      </c>
      <c r="G45" s="18">
        <v>20</v>
      </c>
      <c r="H45" s="44">
        <f t="shared" ref="H45" si="11">F45*G45/100+F45</f>
        <v>8.4480000000000004</v>
      </c>
      <c r="I45" s="44"/>
      <c r="J45" s="20"/>
    </row>
    <row r="46" spans="1:10" x14ac:dyDescent="0.2">
      <c r="A46" s="17">
        <v>5</v>
      </c>
      <c r="B46" s="18" t="s">
        <v>202</v>
      </c>
      <c r="C46" s="17" t="s">
        <v>16</v>
      </c>
      <c r="D46" s="4" t="s">
        <v>427</v>
      </c>
      <c r="E46" s="17">
        <v>16</v>
      </c>
      <c r="F46" s="19">
        <v>7.92</v>
      </c>
      <c r="G46" s="8">
        <v>20</v>
      </c>
      <c r="H46" s="41">
        <f t="shared" ref="H46:H50" si="12">F46*G46/100+F46</f>
        <v>9.5039999999999996</v>
      </c>
      <c r="I46" s="41"/>
      <c r="J46" s="20"/>
    </row>
    <row r="47" spans="1:10" x14ac:dyDescent="0.2">
      <c r="A47" s="17">
        <v>6</v>
      </c>
      <c r="B47" s="18" t="s">
        <v>203</v>
      </c>
      <c r="C47" s="17" t="s">
        <v>16</v>
      </c>
      <c r="D47" s="4" t="s">
        <v>25</v>
      </c>
      <c r="E47" s="17">
        <v>6</v>
      </c>
      <c r="F47" s="19">
        <v>7.74</v>
      </c>
      <c r="G47" s="8">
        <v>20</v>
      </c>
      <c r="H47" s="41">
        <f t="shared" si="12"/>
        <v>9.2880000000000003</v>
      </c>
      <c r="I47" s="41"/>
      <c r="J47" s="20"/>
    </row>
    <row r="48" spans="1:10" x14ac:dyDescent="0.2">
      <c r="A48" s="17">
        <v>7</v>
      </c>
      <c r="B48" s="18" t="s">
        <v>204</v>
      </c>
      <c r="C48" s="17" t="s">
        <v>16</v>
      </c>
      <c r="D48" s="4" t="s">
        <v>25</v>
      </c>
      <c r="E48" s="17">
        <v>6</v>
      </c>
      <c r="F48" s="19">
        <v>7.74</v>
      </c>
      <c r="G48" s="8">
        <v>20</v>
      </c>
      <c r="H48" s="41">
        <f t="shared" si="12"/>
        <v>9.2880000000000003</v>
      </c>
      <c r="I48" s="41"/>
      <c r="J48" s="20"/>
    </row>
    <row r="49" spans="1:10" x14ac:dyDescent="0.2">
      <c r="A49" s="17">
        <v>8</v>
      </c>
      <c r="B49" s="18" t="s">
        <v>205</v>
      </c>
      <c r="C49" s="17" t="s">
        <v>16</v>
      </c>
      <c r="D49" s="4" t="s">
        <v>25</v>
      </c>
      <c r="E49" s="17">
        <v>6</v>
      </c>
      <c r="F49" s="19">
        <v>7.74</v>
      </c>
      <c r="G49" s="8">
        <v>20</v>
      </c>
      <c r="H49" s="41">
        <f t="shared" si="12"/>
        <v>9.2880000000000003</v>
      </c>
      <c r="I49" s="41"/>
      <c r="J49" s="20"/>
    </row>
    <row r="50" spans="1:10" x14ac:dyDescent="0.2">
      <c r="A50" s="17">
        <v>9</v>
      </c>
      <c r="B50" s="18" t="s">
        <v>206</v>
      </c>
      <c r="C50" s="17" t="s">
        <v>16</v>
      </c>
      <c r="D50" s="4" t="s">
        <v>25</v>
      </c>
      <c r="E50" s="17">
        <v>6</v>
      </c>
      <c r="F50" s="19">
        <v>7.74</v>
      </c>
      <c r="G50" s="8">
        <v>20</v>
      </c>
      <c r="H50" s="41">
        <f t="shared" si="12"/>
        <v>9.2880000000000003</v>
      </c>
      <c r="I50" s="41"/>
      <c r="J50" s="20"/>
    </row>
    <row r="51" spans="1:10" x14ac:dyDescent="0.2">
      <c r="A51" s="17">
        <v>10</v>
      </c>
      <c r="B51" s="52" t="s">
        <v>209</v>
      </c>
      <c r="C51" s="45" t="s">
        <v>201</v>
      </c>
      <c r="D51" s="4" t="s">
        <v>25</v>
      </c>
      <c r="E51" s="18">
        <v>6</v>
      </c>
      <c r="F51" s="12">
        <v>7.04</v>
      </c>
      <c r="G51" s="18">
        <v>20</v>
      </c>
      <c r="H51" s="44">
        <f t="shared" ref="H51:H67" si="13">F51*G51/100+F51</f>
        <v>8.4480000000000004</v>
      </c>
      <c r="I51" s="44"/>
      <c r="J51" s="20"/>
    </row>
    <row r="52" spans="1:10" x14ac:dyDescent="0.2">
      <c r="A52" s="17">
        <v>11</v>
      </c>
      <c r="B52" s="52" t="s">
        <v>211</v>
      </c>
      <c r="C52" s="45" t="s">
        <v>201</v>
      </c>
      <c r="D52" s="4" t="s">
        <v>25</v>
      </c>
      <c r="E52" s="18">
        <v>6</v>
      </c>
      <c r="F52" s="12">
        <v>7.85</v>
      </c>
      <c r="G52" s="18">
        <v>20</v>
      </c>
      <c r="H52" s="44">
        <f t="shared" si="13"/>
        <v>9.42</v>
      </c>
      <c r="I52" s="44"/>
      <c r="J52" s="20"/>
    </row>
    <row r="53" spans="1:10" x14ac:dyDescent="0.2">
      <c r="A53" s="17">
        <v>12</v>
      </c>
      <c r="B53" s="18" t="s">
        <v>212</v>
      </c>
      <c r="C53" s="45" t="s">
        <v>201</v>
      </c>
      <c r="D53" s="4" t="s">
        <v>25</v>
      </c>
      <c r="E53" s="18">
        <v>6</v>
      </c>
      <c r="F53" s="12">
        <v>8.3000000000000007</v>
      </c>
      <c r="G53" s="18">
        <v>20</v>
      </c>
      <c r="H53" s="44">
        <f t="shared" si="13"/>
        <v>9.9600000000000009</v>
      </c>
      <c r="I53" s="44"/>
      <c r="J53" s="20"/>
    </row>
    <row r="54" spans="1:10" x14ac:dyDescent="0.2">
      <c r="A54" s="17">
        <v>13</v>
      </c>
      <c r="B54" s="18" t="s">
        <v>213</v>
      </c>
      <c r="C54" s="45" t="s">
        <v>201</v>
      </c>
      <c r="D54" s="4" t="s">
        <v>25</v>
      </c>
      <c r="E54" s="18">
        <v>6</v>
      </c>
      <c r="F54" s="12">
        <v>7.6</v>
      </c>
      <c r="G54" s="18">
        <v>20</v>
      </c>
      <c r="H54" s="44">
        <f t="shared" si="13"/>
        <v>9.1199999999999992</v>
      </c>
      <c r="I54" s="44"/>
      <c r="J54" s="20"/>
    </row>
    <row r="55" spans="1:10" x14ac:dyDescent="0.2">
      <c r="A55" s="17">
        <v>14</v>
      </c>
      <c r="B55" s="18" t="s">
        <v>214</v>
      </c>
      <c r="C55" s="45" t="s">
        <v>201</v>
      </c>
      <c r="D55" s="4" t="s">
        <v>25</v>
      </c>
      <c r="E55" s="18">
        <v>6</v>
      </c>
      <c r="F55" s="12">
        <v>7.85</v>
      </c>
      <c r="G55" s="18">
        <v>20</v>
      </c>
      <c r="H55" s="44">
        <f t="shared" si="13"/>
        <v>9.42</v>
      </c>
      <c r="I55" s="44"/>
      <c r="J55" s="20"/>
    </row>
    <row r="56" spans="1:10" x14ac:dyDescent="0.2">
      <c r="A56" s="17">
        <v>15</v>
      </c>
      <c r="B56" s="18" t="s">
        <v>215</v>
      </c>
      <c r="C56" s="45" t="s">
        <v>201</v>
      </c>
      <c r="D56" s="4" t="s">
        <v>25</v>
      </c>
      <c r="E56" s="18">
        <v>6</v>
      </c>
      <c r="F56" s="12">
        <v>11.9</v>
      </c>
      <c r="G56" s="18">
        <v>20</v>
      </c>
      <c r="H56" s="44">
        <f t="shared" si="13"/>
        <v>14.280000000000001</v>
      </c>
      <c r="I56" s="44"/>
      <c r="J56" s="20"/>
    </row>
    <row r="57" spans="1:10" x14ac:dyDescent="0.2">
      <c r="A57" s="17">
        <v>16</v>
      </c>
      <c r="B57" s="18" t="s">
        <v>218</v>
      </c>
      <c r="C57" s="45" t="s">
        <v>201</v>
      </c>
      <c r="D57" s="4" t="s">
        <v>25</v>
      </c>
      <c r="E57" s="18">
        <v>6</v>
      </c>
      <c r="F57" s="12">
        <v>7.15</v>
      </c>
      <c r="G57" s="18">
        <v>20</v>
      </c>
      <c r="H57" s="44">
        <f t="shared" si="13"/>
        <v>8.58</v>
      </c>
      <c r="I57" s="44"/>
      <c r="J57" s="20"/>
    </row>
    <row r="58" spans="1:10" x14ac:dyDescent="0.2">
      <c r="A58" s="17">
        <v>17</v>
      </c>
      <c r="B58" s="18" t="s">
        <v>219</v>
      </c>
      <c r="C58" s="45" t="s">
        <v>201</v>
      </c>
      <c r="D58" s="4" t="s">
        <v>25</v>
      </c>
      <c r="E58" s="18">
        <v>6</v>
      </c>
      <c r="F58" s="12">
        <v>7.15</v>
      </c>
      <c r="G58" s="18">
        <v>20</v>
      </c>
      <c r="H58" s="44">
        <f t="shared" si="13"/>
        <v>8.58</v>
      </c>
      <c r="I58" s="44"/>
      <c r="J58" s="20"/>
    </row>
    <row r="59" spans="1:10" x14ac:dyDescent="0.2">
      <c r="A59" s="17">
        <v>18</v>
      </c>
      <c r="B59" s="18" t="s">
        <v>220</v>
      </c>
      <c r="C59" s="45" t="s">
        <v>201</v>
      </c>
      <c r="D59" s="4" t="s">
        <v>25</v>
      </c>
      <c r="E59" s="18">
        <v>6</v>
      </c>
      <c r="F59" s="12">
        <v>7.15</v>
      </c>
      <c r="G59" s="18">
        <v>20</v>
      </c>
      <c r="H59" s="44">
        <f t="shared" si="13"/>
        <v>8.58</v>
      </c>
      <c r="I59" s="44"/>
      <c r="J59" s="20"/>
    </row>
    <row r="60" spans="1:10" x14ac:dyDescent="0.2">
      <c r="A60" s="17">
        <v>19</v>
      </c>
      <c r="B60" s="18" t="s">
        <v>221</v>
      </c>
      <c r="C60" s="45" t="s">
        <v>201</v>
      </c>
      <c r="D60" s="4" t="s">
        <v>25</v>
      </c>
      <c r="E60" s="18">
        <v>6</v>
      </c>
      <c r="F60" s="12">
        <v>7.5</v>
      </c>
      <c r="G60" s="18">
        <v>20</v>
      </c>
      <c r="H60" s="44">
        <f t="shared" si="13"/>
        <v>9</v>
      </c>
      <c r="I60" s="44"/>
      <c r="J60" s="20"/>
    </row>
    <row r="61" spans="1:10" x14ac:dyDescent="0.2">
      <c r="A61" s="17">
        <v>20</v>
      </c>
      <c r="B61" s="18" t="s">
        <v>222</v>
      </c>
      <c r="C61" s="45" t="s">
        <v>201</v>
      </c>
      <c r="D61" s="4" t="s">
        <v>25</v>
      </c>
      <c r="E61" s="18">
        <v>6</v>
      </c>
      <c r="F61" s="12">
        <v>7.15</v>
      </c>
      <c r="G61" s="18">
        <v>20</v>
      </c>
      <c r="H61" s="44">
        <f t="shared" si="13"/>
        <v>8.58</v>
      </c>
      <c r="I61" s="44"/>
      <c r="J61" s="20"/>
    </row>
    <row r="62" spans="1:10" x14ac:dyDescent="0.2">
      <c r="A62" s="17">
        <v>21</v>
      </c>
      <c r="B62" s="18" t="s">
        <v>223</v>
      </c>
      <c r="C62" s="45" t="s">
        <v>201</v>
      </c>
      <c r="D62" s="4" t="s">
        <v>25</v>
      </c>
      <c r="E62" s="18">
        <v>6</v>
      </c>
      <c r="F62" s="12">
        <v>7.5</v>
      </c>
      <c r="G62" s="18">
        <v>20</v>
      </c>
      <c r="H62" s="44">
        <f t="shared" si="13"/>
        <v>9</v>
      </c>
      <c r="I62" s="44"/>
      <c r="J62" s="20"/>
    </row>
    <row r="63" spans="1:10" x14ac:dyDescent="0.2">
      <c r="A63" s="17">
        <v>22</v>
      </c>
      <c r="B63" s="18" t="s">
        <v>224</v>
      </c>
      <c r="C63" s="45" t="s">
        <v>201</v>
      </c>
      <c r="D63" s="4" t="s">
        <v>25</v>
      </c>
      <c r="E63" s="18">
        <v>6</v>
      </c>
      <c r="F63" s="12">
        <v>7.15</v>
      </c>
      <c r="G63" s="18">
        <v>20</v>
      </c>
      <c r="H63" s="44">
        <f t="shared" si="13"/>
        <v>8.58</v>
      </c>
      <c r="I63" s="44"/>
      <c r="J63" s="20"/>
    </row>
    <row r="64" spans="1:10" x14ac:dyDescent="0.2">
      <c r="A64" s="17">
        <v>23</v>
      </c>
      <c r="B64" s="18" t="s">
        <v>628</v>
      </c>
      <c r="C64" s="45" t="s">
        <v>201</v>
      </c>
      <c r="D64" s="4" t="s">
        <v>25</v>
      </c>
      <c r="E64" s="18">
        <v>6</v>
      </c>
      <c r="F64" s="12">
        <v>7.15</v>
      </c>
      <c r="G64" s="18">
        <v>20</v>
      </c>
      <c r="H64" s="44">
        <f t="shared" ref="H64:H65" si="14">F64*G64/100+F64</f>
        <v>8.58</v>
      </c>
      <c r="I64" s="44"/>
      <c r="J64" s="20"/>
    </row>
    <row r="65" spans="1:10" x14ac:dyDescent="0.2">
      <c r="A65" s="17">
        <v>24</v>
      </c>
      <c r="B65" s="18" t="s">
        <v>629</v>
      </c>
      <c r="C65" s="45" t="s">
        <v>201</v>
      </c>
      <c r="D65" s="4" t="s">
        <v>25</v>
      </c>
      <c r="E65" s="18">
        <v>6</v>
      </c>
      <c r="F65" s="12">
        <v>7.15</v>
      </c>
      <c r="G65" s="18">
        <v>20</v>
      </c>
      <c r="H65" s="44">
        <f t="shared" si="14"/>
        <v>8.58</v>
      </c>
      <c r="I65" s="44"/>
      <c r="J65" s="20"/>
    </row>
    <row r="66" spans="1:10" x14ac:dyDescent="0.2">
      <c r="A66" s="17">
        <v>25</v>
      </c>
      <c r="B66" s="18" t="s">
        <v>216</v>
      </c>
      <c r="C66" s="45" t="s">
        <v>201</v>
      </c>
      <c r="D66" s="4" t="s">
        <v>25</v>
      </c>
      <c r="E66" s="18">
        <v>6</v>
      </c>
      <c r="F66" s="12">
        <v>14.4</v>
      </c>
      <c r="G66" s="18">
        <v>20</v>
      </c>
      <c r="H66" s="44">
        <f t="shared" si="13"/>
        <v>17.28</v>
      </c>
      <c r="I66" s="44"/>
      <c r="J66" s="20"/>
    </row>
    <row r="67" spans="1:10" x14ac:dyDescent="0.2">
      <c r="A67" s="17">
        <v>26</v>
      </c>
      <c r="B67" s="18" t="s">
        <v>217</v>
      </c>
      <c r="C67" s="45" t="s">
        <v>201</v>
      </c>
      <c r="D67" s="4" t="s">
        <v>25</v>
      </c>
      <c r="E67" s="18">
        <v>6</v>
      </c>
      <c r="F67" s="12">
        <v>24.3</v>
      </c>
      <c r="G67" s="18">
        <v>20</v>
      </c>
      <c r="H67" s="44">
        <f t="shared" si="13"/>
        <v>29.16</v>
      </c>
      <c r="I67" s="44"/>
      <c r="J67" s="20"/>
    </row>
    <row r="68" spans="1:10" x14ac:dyDescent="0.2">
      <c r="A68" s="17">
        <v>27</v>
      </c>
      <c r="B68" s="52" t="s">
        <v>225</v>
      </c>
      <c r="C68" s="45" t="s">
        <v>201</v>
      </c>
      <c r="D68" s="5" t="s">
        <v>149</v>
      </c>
      <c r="E68" s="18">
        <v>15</v>
      </c>
      <c r="F68" s="12">
        <v>8.6999999999999993</v>
      </c>
      <c r="G68" s="18">
        <v>20</v>
      </c>
      <c r="H68" s="44">
        <f t="shared" ref="H68:H69" si="15">F68*G68/100+F68</f>
        <v>10.44</v>
      </c>
      <c r="I68" s="44"/>
      <c r="J68" s="20"/>
    </row>
    <row r="69" spans="1:10" x14ac:dyDescent="0.2">
      <c r="A69" s="17">
        <v>28</v>
      </c>
      <c r="B69" s="52" t="s">
        <v>226</v>
      </c>
      <c r="C69" s="45" t="s">
        <v>201</v>
      </c>
      <c r="D69" s="5" t="s">
        <v>149</v>
      </c>
      <c r="E69" s="18">
        <v>15</v>
      </c>
      <c r="F69" s="12">
        <v>8.6999999999999993</v>
      </c>
      <c r="G69" s="18">
        <v>20</v>
      </c>
      <c r="H69" s="44">
        <f t="shared" si="15"/>
        <v>10.44</v>
      </c>
      <c r="I69" s="44"/>
      <c r="J69" s="20"/>
    </row>
    <row r="70" spans="1:10" x14ac:dyDescent="0.2">
      <c r="A70" s="17">
        <v>29</v>
      </c>
      <c r="B70" s="52" t="s">
        <v>253</v>
      </c>
      <c r="C70" s="45" t="s">
        <v>84</v>
      </c>
      <c r="D70" s="4" t="s">
        <v>23</v>
      </c>
      <c r="E70" s="18">
        <v>12</v>
      </c>
      <c r="F70" s="12">
        <v>6.4</v>
      </c>
      <c r="G70" s="18">
        <v>20</v>
      </c>
      <c r="H70" s="44">
        <f t="shared" ref="H70" si="16">F70*G70/100+F70</f>
        <v>7.6800000000000006</v>
      </c>
      <c r="I70" s="44"/>
      <c r="J70" s="20"/>
    </row>
    <row r="71" spans="1:10" x14ac:dyDescent="0.2">
      <c r="A71" s="17">
        <v>30</v>
      </c>
      <c r="B71" s="52" t="s">
        <v>381</v>
      </c>
      <c r="C71" s="45" t="s">
        <v>16</v>
      </c>
      <c r="D71" s="4" t="s">
        <v>23</v>
      </c>
      <c r="E71" s="18">
        <v>12</v>
      </c>
      <c r="F71" s="12">
        <v>19.8</v>
      </c>
      <c r="G71" s="18">
        <v>20</v>
      </c>
      <c r="H71" s="44">
        <f t="shared" ref="H71" si="17">F71*G71/100+F71</f>
        <v>23.76</v>
      </c>
      <c r="I71" s="44"/>
      <c r="J71" s="64" t="s">
        <v>382</v>
      </c>
    </row>
    <row r="72" spans="1:10" x14ac:dyDescent="0.2">
      <c r="A72" s="17">
        <v>31</v>
      </c>
      <c r="B72" s="52" t="s">
        <v>609</v>
      </c>
      <c r="C72" s="45" t="s">
        <v>83</v>
      </c>
      <c r="D72" s="4" t="s">
        <v>23</v>
      </c>
      <c r="E72" s="18">
        <v>1</v>
      </c>
      <c r="F72" s="12">
        <v>43.5</v>
      </c>
      <c r="G72" s="18">
        <v>20</v>
      </c>
      <c r="H72" s="44">
        <f t="shared" ref="H72" si="18">F72*G72/100+F72</f>
        <v>52.2</v>
      </c>
      <c r="I72" s="44"/>
      <c r="J72" s="64"/>
    </row>
    <row r="73" spans="1:10" x14ac:dyDescent="0.2">
      <c r="A73" s="17">
        <v>32</v>
      </c>
      <c r="B73" s="52" t="s">
        <v>630</v>
      </c>
      <c r="C73" s="45" t="s">
        <v>83</v>
      </c>
      <c r="D73" s="4" t="s">
        <v>23</v>
      </c>
      <c r="E73" s="18">
        <v>1</v>
      </c>
      <c r="F73" s="12">
        <v>49.5</v>
      </c>
      <c r="G73" s="18">
        <v>20</v>
      </c>
      <c r="H73" s="44">
        <f t="shared" ref="H73:H74" si="19">F73*G73/100+F73</f>
        <v>59.4</v>
      </c>
      <c r="I73" s="44"/>
      <c r="J73" s="64"/>
    </row>
    <row r="74" spans="1:10" x14ac:dyDescent="0.2">
      <c r="A74" s="17">
        <v>34</v>
      </c>
      <c r="B74" s="52" t="s">
        <v>631</v>
      </c>
      <c r="C74" s="45" t="s">
        <v>83</v>
      </c>
      <c r="D74" s="4" t="s">
        <v>23</v>
      </c>
      <c r="E74" s="18">
        <v>12</v>
      </c>
      <c r="F74" s="12">
        <v>5</v>
      </c>
      <c r="G74" s="18">
        <v>20</v>
      </c>
      <c r="H74" s="44">
        <f t="shared" si="19"/>
        <v>6</v>
      </c>
      <c r="I74" s="44"/>
      <c r="J74" s="64"/>
    </row>
    <row r="75" spans="1:10" x14ac:dyDescent="0.2">
      <c r="A75" s="17">
        <v>35</v>
      </c>
      <c r="B75" s="52" t="s">
        <v>632</v>
      </c>
      <c r="C75" s="45" t="s">
        <v>83</v>
      </c>
      <c r="D75" s="4" t="s">
        <v>23</v>
      </c>
      <c r="E75" s="18">
        <v>12</v>
      </c>
      <c r="F75" s="12">
        <v>5</v>
      </c>
      <c r="G75" s="18">
        <v>20</v>
      </c>
      <c r="H75" s="44">
        <f t="shared" ref="H75" si="20">F75*G75/100+F75</f>
        <v>6</v>
      </c>
      <c r="I75" s="85"/>
      <c r="J75" s="64"/>
    </row>
    <row r="76" spans="1:10" x14ac:dyDescent="0.2">
      <c r="A76" s="17">
        <v>36</v>
      </c>
      <c r="B76" s="52" t="s">
        <v>635</v>
      </c>
      <c r="C76" s="45" t="s">
        <v>83</v>
      </c>
      <c r="D76" s="4" t="s">
        <v>23</v>
      </c>
      <c r="E76" s="18">
        <v>6</v>
      </c>
      <c r="F76" s="12">
        <v>5</v>
      </c>
      <c r="G76" s="18">
        <v>20</v>
      </c>
      <c r="H76" s="44">
        <f t="shared" ref="H76" si="21">F76*G76/100+F76</f>
        <v>6</v>
      </c>
      <c r="I76" s="85"/>
      <c r="J76" s="64"/>
    </row>
    <row r="77" spans="1:10" ht="17.25" customHeight="1" x14ac:dyDescent="0.2">
      <c r="A77" s="91" t="s">
        <v>9</v>
      </c>
      <c r="B77" s="92"/>
      <c r="C77" s="92"/>
      <c r="D77" s="92"/>
      <c r="E77" s="92"/>
      <c r="F77" s="92"/>
      <c r="G77" s="92"/>
      <c r="H77" s="93"/>
      <c r="I77" s="58"/>
      <c r="J77" s="20"/>
    </row>
    <row r="78" spans="1:10" x14ac:dyDescent="0.2">
      <c r="A78" s="17">
        <v>1</v>
      </c>
      <c r="B78" s="18" t="s">
        <v>85</v>
      </c>
      <c r="C78" s="4" t="s">
        <v>17</v>
      </c>
      <c r="D78" s="72" t="s">
        <v>35</v>
      </c>
      <c r="E78" s="4">
        <v>1</v>
      </c>
      <c r="F78" s="19">
        <v>43.75</v>
      </c>
      <c r="G78" s="8">
        <v>10</v>
      </c>
      <c r="H78" s="19">
        <f t="shared" ref="H78:H80" si="22">F78*G78/100+F78</f>
        <v>48.125</v>
      </c>
      <c r="I78" s="19"/>
      <c r="J78" s="9"/>
    </row>
    <row r="79" spans="1:10" x14ac:dyDescent="0.2">
      <c r="A79" s="17">
        <v>2</v>
      </c>
      <c r="B79" s="18" t="s">
        <v>297</v>
      </c>
      <c r="C79" s="4" t="s">
        <v>17</v>
      </c>
      <c r="D79" s="72" t="s">
        <v>298</v>
      </c>
      <c r="E79" s="4">
        <v>1</v>
      </c>
      <c r="F79" s="19">
        <v>38.36</v>
      </c>
      <c r="G79" s="8">
        <v>20</v>
      </c>
      <c r="H79" s="19">
        <f t="shared" si="22"/>
        <v>46.031999999999996</v>
      </c>
      <c r="I79" s="19"/>
      <c r="J79" s="9"/>
    </row>
    <row r="80" spans="1:10" ht="13.15" customHeight="1" x14ac:dyDescent="0.2">
      <c r="A80" s="46">
        <v>3</v>
      </c>
      <c r="B80" s="30" t="s">
        <v>616</v>
      </c>
      <c r="C80" s="70"/>
      <c r="D80" s="73" t="s">
        <v>427</v>
      </c>
      <c r="E80" s="4"/>
      <c r="F80" s="19">
        <v>7.58</v>
      </c>
      <c r="G80" s="8">
        <v>20</v>
      </c>
      <c r="H80" s="19">
        <f t="shared" si="22"/>
        <v>9.0960000000000001</v>
      </c>
      <c r="I80" s="19"/>
      <c r="J80" s="9"/>
    </row>
    <row r="81" spans="1:10" ht="13.5" customHeight="1" x14ac:dyDescent="0.2">
      <c r="A81" s="91" t="s">
        <v>104</v>
      </c>
      <c r="B81" s="92"/>
      <c r="C81" s="92"/>
      <c r="D81" s="92"/>
      <c r="E81" s="92"/>
      <c r="F81" s="92"/>
      <c r="G81" s="92"/>
      <c r="H81" s="92"/>
      <c r="I81" s="57"/>
      <c r="J81" s="20"/>
    </row>
    <row r="82" spans="1:10" x14ac:dyDescent="0.2">
      <c r="A82" s="17">
        <v>1</v>
      </c>
      <c r="B82" s="18" t="s">
        <v>264</v>
      </c>
      <c r="C82" s="4" t="s">
        <v>44</v>
      </c>
      <c r="D82" s="4" t="s">
        <v>43</v>
      </c>
      <c r="E82" s="5">
        <v>12</v>
      </c>
      <c r="F82" s="12">
        <v>19.2</v>
      </c>
      <c r="G82" s="18">
        <v>20</v>
      </c>
      <c r="H82" s="44">
        <f t="shared" ref="H82:H87" si="23">F82*G82/100+F82</f>
        <v>23.04</v>
      </c>
      <c r="I82" s="44"/>
      <c r="J82" s="20"/>
    </row>
    <row r="83" spans="1:10" x14ac:dyDescent="0.2">
      <c r="A83" s="17">
        <v>2</v>
      </c>
      <c r="B83" s="18" t="s">
        <v>288</v>
      </c>
      <c r="C83" s="4" t="s">
        <v>83</v>
      </c>
      <c r="D83" s="5" t="s">
        <v>289</v>
      </c>
      <c r="E83" s="5">
        <v>6</v>
      </c>
      <c r="F83" s="9">
        <v>12</v>
      </c>
      <c r="G83" s="18">
        <v>20</v>
      </c>
      <c r="H83" s="16">
        <f t="shared" si="23"/>
        <v>14.4</v>
      </c>
      <c r="I83" s="16"/>
      <c r="J83" s="9"/>
    </row>
    <row r="84" spans="1:10" x14ac:dyDescent="0.2">
      <c r="A84" s="17">
        <v>3</v>
      </c>
      <c r="B84" s="18" t="s">
        <v>290</v>
      </c>
      <c r="C84" s="4" t="s">
        <v>83</v>
      </c>
      <c r="D84" s="5" t="s">
        <v>289</v>
      </c>
      <c r="E84" s="5">
        <v>6</v>
      </c>
      <c r="F84" s="9">
        <v>12</v>
      </c>
      <c r="G84" s="18">
        <v>20</v>
      </c>
      <c r="H84" s="16">
        <f t="shared" si="23"/>
        <v>14.4</v>
      </c>
      <c r="I84" s="16"/>
      <c r="J84" s="9"/>
    </row>
    <row r="85" spans="1:10" x14ac:dyDescent="0.2">
      <c r="A85" s="17">
        <v>4</v>
      </c>
      <c r="B85" s="18" t="s">
        <v>291</v>
      </c>
      <c r="C85" s="4" t="s">
        <v>83</v>
      </c>
      <c r="D85" s="5" t="s">
        <v>289</v>
      </c>
      <c r="E85" s="5">
        <v>6</v>
      </c>
      <c r="F85" s="9">
        <v>12</v>
      </c>
      <c r="G85" s="18">
        <v>20</v>
      </c>
      <c r="H85" s="16">
        <f t="shared" si="23"/>
        <v>14.4</v>
      </c>
      <c r="I85" s="16"/>
      <c r="J85" s="9"/>
    </row>
    <row r="86" spans="1:10" x14ac:dyDescent="0.2">
      <c r="A86" s="17">
        <v>5</v>
      </c>
      <c r="B86" s="18" t="s">
        <v>292</v>
      </c>
      <c r="C86" s="4" t="s">
        <v>83</v>
      </c>
      <c r="D86" s="5" t="s">
        <v>289</v>
      </c>
      <c r="E86" s="5">
        <v>6</v>
      </c>
      <c r="F86" s="9">
        <v>12</v>
      </c>
      <c r="G86" s="18">
        <v>20</v>
      </c>
      <c r="H86" s="16">
        <f t="shared" si="23"/>
        <v>14.4</v>
      </c>
      <c r="I86" s="16"/>
      <c r="J86" s="9"/>
    </row>
    <row r="87" spans="1:10" x14ac:dyDescent="0.2">
      <c r="A87" s="17">
        <v>6</v>
      </c>
      <c r="B87" s="18" t="s">
        <v>293</v>
      </c>
      <c r="C87" s="4" t="s">
        <v>83</v>
      </c>
      <c r="D87" s="5" t="s">
        <v>289</v>
      </c>
      <c r="E87" s="5">
        <v>6</v>
      </c>
      <c r="F87" s="9">
        <v>12</v>
      </c>
      <c r="G87" s="18">
        <v>20</v>
      </c>
      <c r="H87" s="16">
        <f t="shared" si="23"/>
        <v>14.4</v>
      </c>
      <c r="I87" s="16"/>
      <c r="J87" s="9"/>
    </row>
    <row r="88" spans="1:10" x14ac:dyDescent="0.2">
      <c r="A88" s="17">
        <v>7</v>
      </c>
      <c r="B88" s="18" t="s">
        <v>383</v>
      </c>
      <c r="C88" s="4" t="s">
        <v>16</v>
      </c>
      <c r="D88" s="5" t="s">
        <v>102</v>
      </c>
      <c r="E88" s="5">
        <v>6</v>
      </c>
      <c r="F88" s="9">
        <v>12.3</v>
      </c>
      <c r="G88" s="18">
        <v>20</v>
      </c>
      <c r="H88" s="16">
        <f t="shared" ref="H88:H90" si="24">F88*G88/100+F88</f>
        <v>14.760000000000002</v>
      </c>
      <c r="I88" s="16"/>
      <c r="J88" s="9" t="s">
        <v>387</v>
      </c>
    </row>
    <row r="89" spans="1:10" x14ac:dyDescent="0.2">
      <c r="A89" s="17">
        <v>8</v>
      </c>
      <c r="B89" s="18" t="s">
        <v>384</v>
      </c>
      <c r="C89" s="4" t="s">
        <v>16</v>
      </c>
      <c r="D89" s="5" t="s">
        <v>102</v>
      </c>
      <c r="E89" s="5">
        <v>6</v>
      </c>
      <c r="F89" s="9">
        <v>12.3</v>
      </c>
      <c r="G89" s="18">
        <v>20</v>
      </c>
      <c r="H89" s="16">
        <f t="shared" si="24"/>
        <v>14.760000000000002</v>
      </c>
      <c r="I89" s="16"/>
      <c r="J89" s="9" t="s">
        <v>388</v>
      </c>
    </row>
    <row r="90" spans="1:10" x14ac:dyDescent="0.2">
      <c r="A90" s="17">
        <v>9</v>
      </c>
      <c r="B90" s="18" t="s">
        <v>386</v>
      </c>
      <c r="C90" s="4" t="s">
        <v>16</v>
      </c>
      <c r="D90" s="5" t="s">
        <v>102</v>
      </c>
      <c r="E90" s="5">
        <v>6</v>
      </c>
      <c r="F90" s="9">
        <v>12.3</v>
      </c>
      <c r="G90" s="18">
        <v>20</v>
      </c>
      <c r="H90" s="16">
        <f t="shared" si="24"/>
        <v>14.760000000000002</v>
      </c>
      <c r="I90" s="16"/>
      <c r="J90" s="9" t="s">
        <v>389</v>
      </c>
    </row>
    <row r="91" spans="1:10" x14ac:dyDescent="0.2">
      <c r="A91" s="17">
        <v>10</v>
      </c>
      <c r="B91" s="30" t="s">
        <v>385</v>
      </c>
      <c r="C91" s="4" t="s">
        <v>16</v>
      </c>
      <c r="D91" s="5" t="s">
        <v>102</v>
      </c>
      <c r="E91" s="48">
        <v>6</v>
      </c>
      <c r="F91" s="9">
        <v>12.3</v>
      </c>
      <c r="G91" s="18">
        <v>20</v>
      </c>
      <c r="H91" s="16">
        <f t="shared" ref="H91" si="25">F91*G91/100+F91</f>
        <v>14.760000000000002</v>
      </c>
      <c r="I91" s="16"/>
      <c r="J91" s="9" t="s">
        <v>390</v>
      </c>
    </row>
    <row r="92" spans="1:10" ht="15.75" customHeight="1" x14ac:dyDescent="0.2">
      <c r="A92" s="91" t="s">
        <v>435</v>
      </c>
      <c r="B92" s="92"/>
      <c r="C92" s="92"/>
      <c r="D92" s="92"/>
      <c r="E92" s="92"/>
      <c r="F92" s="92"/>
      <c r="G92" s="92"/>
      <c r="H92" s="92"/>
      <c r="I92" s="92"/>
      <c r="J92" s="93"/>
    </row>
    <row r="93" spans="1:10" x14ac:dyDescent="0.2">
      <c r="A93" s="17">
        <v>1</v>
      </c>
      <c r="B93" s="18" t="s">
        <v>436</v>
      </c>
      <c r="C93" s="18" t="s">
        <v>17</v>
      </c>
      <c r="D93" s="5"/>
      <c r="E93" s="4">
        <v>12</v>
      </c>
      <c r="F93" s="19">
        <v>1.25</v>
      </c>
      <c r="G93" s="8">
        <v>20</v>
      </c>
      <c r="H93" s="19">
        <f>F93*G93/100+F93</f>
        <v>1.5</v>
      </c>
      <c r="I93" s="19"/>
      <c r="J93" s="12"/>
    </row>
    <row r="94" spans="1:10" x14ac:dyDescent="0.2">
      <c r="A94" s="17">
        <v>2</v>
      </c>
      <c r="B94" s="18" t="s">
        <v>437</v>
      </c>
      <c r="C94" s="18" t="s">
        <v>17</v>
      </c>
      <c r="D94" s="5"/>
      <c r="E94" s="4">
        <v>10</v>
      </c>
      <c r="F94" s="19">
        <v>2.89</v>
      </c>
      <c r="G94" s="8">
        <v>10</v>
      </c>
      <c r="H94" s="19">
        <f>F94*G94/100+F94</f>
        <v>3.1790000000000003</v>
      </c>
      <c r="I94" s="19"/>
      <c r="J94" s="12"/>
    </row>
    <row r="95" spans="1:10" ht="15.75" customHeight="1" x14ac:dyDescent="0.2">
      <c r="A95" s="91" t="s">
        <v>46</v>
      </c>
      <c r="B95" s="92"/>
      <c r="C95" s="92"/>
      <c r="D95" s="92"/>
      <c r="E95" s="92"/>
      <c r="F95" s="92"/>
      <c r="G95" s="92"/>
      <c r="H95" s="92"/>
      <c r="I95" s="57"/>
      <c r="J95" s="20"/>
    </row>
    <row r="96" spans="1:10" x14ac:dyDescent="0.2">
      <c r="A96" s="17">
        <v>1</v>
      </c>
      <c r="B96" s="18" t="s">
        <v>167</v>
      </c>
      <c r="C96" s="4" t="s">
        <v>16</v>
      </c>
      <c r="D96" s="4" t="s">
        <v>102</v>
      </c>
      <c r="E96" s="4">
        <v>12</v>
      </c>
      <c r="F96" s="19">
        <v>8.9</v>
      </c>
      <c r="G96" s="8">
        <v>20</v>
      </c>
      <c r="H96" s="41">
        <f t="shared" ref="H96:H101" si="26">F96*G96/100+F96</f>
        <v>10.68</v>
      </c>
      <c r="I96" s="41"/>
      <c r="J96" s="20"/>
    </row>
    <row r="97" spans="1:10" x14ac:dyDescent="0.2">
      <c r="A97" s="17">
        <v>4</v>
      </c>
      <c r="B97" s="1" t="s">
        <v>171</v>
      </c>
      <c r="C97" s="4" t="s">
        <v>16</v>
      </c>
      <c r="D97" s="4" t="s">
        <v>23</v>
      </c>
      <c r="E97" s="17">
        <v>12</v>
      </c>
      <c r="F97" s="19">
        <v>7.2</v>
      </c>
      <c r="G97" s="20">
        <v>20</v>
      </c>
      <c r="H97" s="41">
        <f t="shared" si="26"/>
        <v>8.64</v>
      </c>
      <c r="I97" s="41"/>
      <c r="J97" s="20"/>
    </row>
    <row r="98" spans="1:10" x14ac:dyDescent="0.2">
      <c r="A98" s="17">
        <v>5</v>
      </c>
      <c r="B98" s="18" t="s">
        <v>155</v>
      </c>
      <c r="C98" s="4" t="s">
        <v>16</v>
      </c>
      <c r="D98" s="4" t="s">
        <v>102</v>
      </c>
      <c r="E98" s="4">
        <v>12</v>
      </c>
      <c r="F98" s="19">
        <v>6.4</v>
      </c>
      <c r="G98" s="8">
        <v>20</v>
      </c>
      <c r="H98" s="41">
        <f t="shared" si="26"/>
        <v>7.6800000000000006</v>
      </c>
      <c r="I98" s="41"/>
      <c r="J98" s="20"/>
    </row>
    <row r="99" spans="1:10" x14ac:dyDescent="0.2">
      <c r="A99" s="17">
        <v>6</v>
      </c>
      <c r="B99" s="18" t="s">
        <v>481</v>
      </c>
      <c r="C99" s="4" t="s">
        <v>16</v>
      </c>
      <c r="D99" s="4" t="s">
        <v>24</v>
      </c>
      <c r="E99" s="4">
        <v>12</v>
      </c>
      <c r="F99" s="19">
        <v>7.2</v>
      </c>
      <c r="G99" s="8">
        <v>20</v>
      </c>
      <c r="H99" s="41">
        <f t="shared" si="26"/>
        <v>8.64</v>
      </c>
      <c r="I99" s="41"/>
      <c r="J99" s="20"/>
    </row>
    <row r="100" spans="1:10" x14ac:dyDescent="0.2">
      <c r="A100" s="17">
        <v>7</v>
      </c>
      <c r="B100" s="18" t="s">
        <v>117</v>
      </c>
      <c r="C100" s="4" t="s">
        <v>16</v>
      </c>
      <c r="D100" s="4" t="s">
        <v>23</v>
      </c>
      <c r="E100" s="4">
        <v>12</v>
      </c>
      <c r="F100" s="19">
        <v>19.899999999999999</v>
      </c>
      <c r="G100" s="8">
        <v>20</v>
      </c>
      <c r="H100" s="41">
        <f t="shared" ref="H100" si="27">F100*G100/100+F100</f>
        <v>23.88</v>
      </c>
      <c r="I100" s="41"/>
      <c r="J100" s="20"/>
    </row>
    <row r="101" spans="1:10" ht="24" x14ac:dyDescent="0.2">
      <c r="A101" s="17">
        <v>8</v>
      </c>
      <c r="B101" s="18" t="s">
        <v>103</v>
      </c>
      <c r="C101" s="4" t="s">
        <v>16</v>
      </c>
      <c r="D101" s="4" t="s">
        <v>23</v>
      </c>
      <c r="E101" s="4">
        <v>6</v>
      </c>
      <c r="F101" s="19">
        <v>15.5</v>
      </c>
      <c r="G101" s="8">
        <v>20</v>
      </c>
      <c r="H101" s="41">
        <f t="shared" si="26"/>
        <v>18.600000000000001</v>
      </c>
      <c r="I101" s="41"/>
      <c r="J101" s="20"/>
    </row>
    <row r="102" spans="1:10" x14ac:dyDescent="0.2">
      <c r="A102" s="17">
        <v>9</v>
      </c>
      <c r="B102" s="18" t="s">
        <v>156</v>
      </c>
      <c r="C102" s="4" t="s">
        <v>16</v>
      </c>
      <c r="D102" s="4" t="s">
        <v>23</v>
      </c>
      <c r="E102" s="4">
        <v>6</v>
      </c>
      <c r="F102" s="19">
        <v>8.5</v>
      </c>
      <c r="G102" s="8">
        <v>20</v>
      </c>
      <c r="H102" s="41">
        <f t="shared" ref="H102:H104" si="28">F102*G102/100+F102</f>
        <v>10.199999999999999</v>
      </c>
      <c r="I102" s="41"/>
      <c r="J102" s="20"/>
    </row>
    <row r="103" spans="1:10" x14ac:dyDescent="0.2">
      <c r="A103" s="17">
        <v>10</v>
      </c>
      <c r="B103" s="18" t="s">
        <v>157</v>
      </c>
      <c r="C103" s="4" t="s">
        <v>16</v>
      </c>
      <c r="D103" s="4" t="s">
        <v>23</v>
      </c>
      <c r="E103" s="4">
        <v>6</v>
      </c>
      <c r="F103" s="19">
        <v>9.5</v>
      </c>
      <c r="G103" s="8">
        <v>20</v>
      </c>
      <c r="H103" s="41">
        <f t="shared" si="28"/>
        <v>11.4</v>
      </c>
      <c r="I103" s="41"/>
      <c r="J103" s="20"/>
    </row>
    <row r="104" spans="1:10" x14ac:dyDescent="0.2">
      <c r="A104" s="17">
        <v>11</v>
      </c>
      <c r="B104" s="18" t="s">
        <v>158</v>
      </c>
      <c r="C104" s="4" t="s">
        <v>16</v>
      </c>
      <c r="D104" s="4" t="s">
        <v>23</v>
      </c>
      <c r="E104" s="4">
        <v>6</v>
      </c>
      <c r="F104" s="19">
        <v>15.9</v>
      </c>
      <c r="G104" s="8">
        <v>20</v>
      </c>
      <c r="H104" s="41">
        <f t="shared" si="28"/>
        <v>19.080000000000002</v>
      </c>
      <c r="I104" s="41"/>
      <c r="J104" s="20"/>
    </row>
    <row r="105" spans="1:10" ht="15.75" customHeight="1" x14ac:dyDescent="0.2">
      <c r="A105" s="91" t="s">
        <v>54</v>
      </c>
      <c r="B105" s="92"/>
      <c r="C105" s="92"/>
      <c r="D105" s="92"/>
      <c r="E105" s="92"/>
      <c r="F105" s="92"/>
      <c r="G105" s="92"/>
      <c r="H105" s="92"/>
      <c r="I105" s="57"/>
      <c r="J105" s="20"/>
    </row>
    <row r="106" spans="1:10" ht="24" x14ac:dyDescent="0.2">
      <c r="A106" s="17">
        <v>1</v>
      </c>
      <c r="B106" s="18" t="s">
        <v>65</v>
      </c>
      <c r="C106" s="4" t="s">
        <v>18</v>
      </c>
      <c r="D106" s="4" t="s">
        <v>24</v>
      </c>
      <c r="E106" s="17">
        <v>15</v>
      </c>
      <c r="F106" s="19">
        <v>18.899999999999999</v>
      </c>
      <c r="G106" s="20">
        <v>20</v>
      </c>
      <c r="H106" s="41">
        <f t="shared" ref="H106:H134" si="29">F106*G106/100+F106</f>
        <v>22.68</v>
      </c>
      <c r="I106" s="41"/>
      <c r="J106" s="20"/>
    </row>
    <row r="107" spans="1:10" x14ac:dyDescent="0.2">
      <c r="A107" s="17">
        <v>2</v>
      </c>
      <c r="B107" s="18" t="s">
        <v>183</v>
      </c>
      <c r="C107" s="4" t="s">
        <v>18</v>
      </c>
      <c r="D107" s="4" t="s">
        <v>102</v>
      </c>
      <c r="E107" s="17">
        <v>15</v>
      </c>
      <c r="F107" s="19">
        <v>33.5</v>
      </c>
      <c r="G107" s="20">
        <v>20</v>
      </c>
      <c r="H107" s="41">
        <f t="shared" si="29"/>
        <v>40.200000000000003</v>
      </c>
      <c r="I107" s="41"/>
      <c r="J107" s="20"/>
    </row>
    <row r="108" spans="1:10" x14ac:dyDescent="0.2">
      <c r="A108" s="17">
        <v>3</v>
      </c>
      <c r="B108" s="18" t="s">
        <v>182</v>
      </c>
      <c r="C108" s="4" t="s">
        <v>18</v>
      </c>
      <c r="D108" s="4" t="s">
        <v>102</v>
      </c>
      <c r="E108" s="17">
        <v>12</v>
      </c>
      <c r="F108" s="19">
        <v>35</v>
      </c>
      <c r="G108" s="20">
        <v>20</v>
      </c>
      <c r="H108" s="41">
        <f t="shared" si="29"/>
        <v>42</v>
      </c>
      <c r="I108" s="41"/>
      <c r="J108" s="20"/>
    </row>
    <row r="109" spans="1:10" x14ac:dyDescent="0.2">
      <c r="A109" s="17">
        <v>4</v>
      </c>
      <c r="B109" s="18" t="s">
        <v>184</v>
      </c>
      <c r="C109" s="4" t="s">
        <v>18</v>
      </c>
      <c r="D109" s="4" t="s">
        <v>102</v>
      </c>
      <c r="E109" s="17">
        <v>12</v>
      </c>
      <c r="F109" s="19">
        <v>19.899999999999999</v>
      </c>
      <c r="G109" s="20">
        <v>20</v>
      </c>
      <c r="H109" s="41">
        <f t="shared" si="29"/>
        <v>23.88</v>
      </c>
      <c r="I109" s="41"/>
      <c r="J109" s="20"/>
    </row>
    <row r="110" spans="1:10" x14ac:dyDescent="0.2">
      <c r="A110" s="17">
        <v>5</v>
      </c>
      <c r="B110" s="18" t="s">
        <v>520</v>
      </c>
      <c r="C110" s="4" t="s">
        <v>20</v>
      </c>
      <c r="D110" s="4" t="s">
        <v>102</v>
      </c>
      <c r="E110" s="17">
        <v>12</v>
      </c>
      <c r="F110" s="19">
        <v>17.5</v>
      </c>
      <c r="G110" s="20">
        <v>20</v>
      </c>
      <c r="H110" s="41">
        <f t="shared" ref="H110" si="30">F110*G110/100+F110</f>
        <v>21</v>
      </c>
      <c r="I110" s="41"/>
      <c r="J110" s="64"/>
    </row>
    <row r="111" spans="1:10" ht="18" customHeight="1" x14ac:dyDescent="0.2">
      <c r="A111" s="17">
        <v>6</v>
      </c>
      <c r="B111" s="2" t="s">
        <v>579</v>
      </c>
      <c r="C111" s="4" t="s">
        <v>16</v>
      </c>
      <c r="D111" s="4" t="s">
        <v>102</v>
      </c>
      <c r="E111" s="17">
        <v>6</v>
      </c>
      <c r="F111" s="19">
        <v>33.9</v>
      </c>
      <c r="G111" s="20">
        <v>20</v>
      </c>
      <c r="H111" s="41">
        <f t="shared" si="29"/>
        <v>40.68</v>
      </c>
      <c r="I111" s="41"/>
      <c r="J111" s="20"/>
    </row>
    <row r="112" spans="1:10" x14ac:dyDescent="0.2">
      <c r="A112" s="17">
        <v>7</v>
      </c>
      <c r="B112" s="2" t="s">
        <v>580</v>
      </c>
      <c r="C112" s="4" t="s">
        <v>16</v>
      </c>
      <c r="D112" s="4" t="s">
        <v>102</v>
      </c>
      <c r="E112" s="17">
        <v>6</v>
      </c>
      <c r="F112" s="19">
        <v>77</v>
      </c>
      <c r="G112" s="20">
        <v>20</v>
      </c>
      <c r="H112" s="41">
        <f t="shared" ref="H112" si="31">F112*G112/100+F112</f>
        <v>92.4</v>
      </c>
      <c r="I112" s="41"/>
      <c r="J112" s="64" t="s">
        <v>567</v>
      </c>
    </row>
    <row r="113" spans="1:10" ht="18" customHeight="1" x14ac:dyDescent="0.2">
      <c r="A113" s="17">
        <v>8</v>
      </c>
      <c r="B113" s="2" t="s">
        <v>581</v>
      </c>
      <c r="C113" s="4" t="s">
        <v>16</v>
      </c>
      <c r="D113" s="4" t="s">
        <v>102</v>
      </c>
      <c r="E113" s="17">
        <v>6</v>
      </c>
      <c r="F113" s="19">
        <v>77</v>
      </c>
      <c r="G113" s="20">
        <v>20</v>
      </c>
      <c r="H113" s="41">
        <f t="shared" ref="H113" si="32">F113*G113/100+F113</f>
        <v>92.4</v>
      </c>
      <c r="I113" s="41"/>
      <c r="J113" s="20"/>
    </row>
    <row r="114" spans="1:10" ht="18" customHeight="1" x14ac:dyDescent="0.2">
      <c r="A114" s="17">
        <v>9</v>
      </c>
      <c r="B114" s="2" t="s">
        <v>582</v>
      </c>
      <c r="C114" s="4" t="s">
        <v>16</v>
      </c>
      <c r="D114" s="4" t="s">
        <v>102</v>
      </c>
      <c r="E114" s="17">
        <v>6</v>
      </c>
      <c r="F114" s="19">
        <v>65</v>
      </c>
      <c r="G114" s="20">
        <v>20</v>
      </c>
      <c r="H114" s="41">
        <f t="shared" ref="H114" si="33">F114*G114/100+F114</f>
        <v>78</v>
      </c>
      <c r="I114" s="41"/>
      <c r="J114" s="20"/>
    </row>
    <row r="115" spans="1:10" x14ac:dyDescent="0.2">
      <c r="A115" s="17">
        <v>10</v>
      </c>
      <c r="B115" s="18" t="s">
        <v>572</v>
      </c>
      <c r="C115" s="4" t="s">
        <v>84</v>
      </c>
      <c r="D115" s="4" t="s">
        <v>102</v>
      </c>
      <c r="E115" s="17">
        <v>12</v>
      </c>
      <c r="F115" s="19">
        <v>27</v>
      </c>
      <c r="G115" s="20">
        <v>20</v>
      </c>
      <c r="H115" s="41">
        <f t="shared" si="29"/>
        <v>32.4</v>
      </c>
      <c r="I115" s="41"/>
      <c r="J115" s="20"/>
    </row>
    <row r="116" spans="1:10" x14ac:dyDescent="0.2">
      <c r="A116" s="17">
        <v>11</v>
      </c>
      <c r="B116" s="18" t="s">
        <v>573</v>
      </c>
      <c r="C116" s="4" t="s">
        <v>84</v>
      </c>
      <c r="D116" s="4" t="s">
        <v>102</v>
      </c>
      <c r="E116" s="17">
        <v>12</v>
      </c>
      <c r="F116" s="19">
        <v>48.5</v>
      </c>
      <c r="G116" s="20">
        <v>20</v>
      </c>
      <c r="H116" s="41">
        <f t="shared" si="29"/>
        <v>58.2</v>
      </c>
      <c r="I116" s="41"/>
      <c r="J116" s="20"/>
    </row>
    <row r="117" spans="1:10" x14ac:dyDescent="0.2">
      <c r="A117" s="17">
        <v>12</v>
      </c>
      <c r="B117" s="50" t="s">
        <v>570</v>
      </c>
      <c r="C117" s="4" t="s">
        <v>84</v>
      </c>
      <c r="D117" s="4" t="s">
        <v>102</v>
      </c>
      <c r="E117" s="17">
        <v>12</v>
      </c>
      <c r="F117" s="51">
        <v>51</v>
      </c>
      <c r="G117" s="20">
        <v>20</v>
      </c>
      <c r="H117" s="41">
        <f t="shared" si="29"/>
        <v>61.2</v>
      </c>
      <c r="I117" s="41"/>
      <c r="J117" s="20"/>
    </row>
    <row r="118" spans="1:10" x14ac:dyDescent="0.2">
      <c r="A118" s="17">
        <v>13</v>
      </c>
      <c r="B118" s="36" t="s">
        <v>571</v>
      </c>
      <c r="C118" s="4" t="s">
        <v>84</v>
      </c>
      <c r="D118" s="4" t="s">
        <v>102</v>
      </c>
      <c r="E118" s="17">
        <v>12</v>
      </c>
      <c r="F118" s="51">
        <v>96</v>
      </c>
      <c r="G118" s="20">
        <v>20</v>
      </c>
      <c r="H118" s="41">
        <f t="shared" si="29"/>
        <v>115.2</v>
      </c>
      <c r="I118" s="41"/>
      <c r="J118" s="20"/>
    </row>
    <row r="119" spans="1:10" ht="24" x14ac:dyDescent="0.2">
      <c r="A119" s="17">
        <v>14</v>
      </c>
      <c r="B119" s="36" t="s">
        <v>574</v>
      </c>
      <c r="C119" s="4" t="s">
        <v>84</v>
      </c>
      <c r="D119" s="4" t="s">
        <v>102</v>
      </c>
      <c r="E119" s="17">
        <v>6</v>
      </c>
      <c r="F119" s="51">
        <v>44.5</v>
      </c>
      <c r="G119" s="20">
        <v>20</v>
      </c>
      <c r="H119" s="41">
        <f t="shared" si="29"/>
        <v>53.4</v>
      </c>
      <c r="I119" s="41"/>
      <c r="J119" s="20"/>
    </row>
    <row r="120" spans="1:10" x14ac:dyDescent="0.2">
      <c r="A120" s="17">
        <v>15</v>
      </c>
      <c r="B120" s="18" t="s">
        <v>569</v>
      </c>
      <c r="C120" s="4" t="s">
        <v>16</v>
      </c>
      <c r="D120" s="4" t="s">
        <v>102</v>
      </c>
      <c r="E120" s="17">
        <v>12</v>
      </c>
      <c r="F120" s="19">
        <v>20.9</v>
      </c>
      <c r="G120" s="20">
        <v>20</v>
      </c>
      <c r="H120" s="41">
        <f t="shared" ref="H120" si="34">F120*G120/100+F120</f>
        <v>25.08</v>
      </c>
      <c r="I120" s="41"/>
      <c r="J120" s="64"/>
    </row>
    <row r="121" spans="1:10" x14ac:dyDescent="0.2">
      <c r="A121" s="17">
        <v>16</v>
      </c>
      <c r="B121" s="18" t="s">
        <v>568</v>
      </c>
      <c r="C121" s="4" t="s">
        <v>16</v>
      </c>
      <c r="D121" s="4" t="s">
        <v>102</v>
      </c>
      <c r="E121" s="17">
        <v>12</v>
      </c>
      <c r="F121" s="19">
        <v>11.9</v>
      </c>
      <c r="G121" s="20">
        <v>20</v>
      </c>
      <c r="H121" s="41">
        <f t="shared" si="29"/>
        <v>14.280000000000001</v>
      </c>
      <c r="I121" s="41"/>
      <c r="J121" s="64" t="s">
        <v>487</v>
      </c>
    </row>
    <row r="122" spans="1:10" x14ac:dyDescent="0.2">
      <c r="A122" s="17">
        <v>17</v>
      </c>
      <c r="B122" s="2" t="s">
        <v>237</v>
      </c>
      <c r="C122" s="4" t="s">
        <v>16</v>
      </c>
      <c r="D122" s="4" t="s">
        <v>433</v>
      </c>
      <c r="E122" s="17">
        <v>6</v>
      </c>
      <c r="F122" s="19">
        <v>19.850000000000001</v>
      </c>
      <c r="G122" s="20">
        <v>20</v>
      </c>
      <c r="H122" s="41">
        <f>F122*G122/100+F122</f>
        <v>23.82</v>
      </c>
      <c r="I122" s="41"/>
      <c r="J122" s="20"/>
    </row>
    <row r="123" spans="1:10" x14ac:dyDescent="0.2">
      <c r="A123" s="17">
        <v>18</v>
      </c>
      <c r="B123" s="18" t="s">
        <v>561</v>
      </c>
      <c r="C123" s="4" t="s">
        <v>16</v>
      </c>
      <c r="D123" s="4" t="s">
        <v>102</v>
      </c>
      <c r="E123" s="17">
        <v>12</v>
      </c>
      <c r="F123" s="19">
        <v>22.5</v>
      </c>
      <c r="G123" s="20">
        <v>20</v>
      </c>
      <c r="H123" s="41">
        <f t="shared" si="29"/>
        <v>27</v>
      </c>
      <c r="I123" s="41"/>
      <c r="J123" s="20"/>
    </row>
    <row r="124" spans="1:10" x14ac:dyDescent="0.2">
      <c r="A124" s="17">
        <v>19</v>
      </c>
      <c r="B124" s="2" t="s">
        <v>562</v>
      </c>
      <c r="C124" s="4" t="s">
        <v>16</v>
      </c>
      <c r="D124" s="4" t="s">
        <v>433</v>
      </c>
      <c r="E124" s="17">
        <v>6</v>
      </c>
      <c r="F124" s="19">
        <v>22.5</v>
      </c>
      <c r="G124" s="20">
        <v>20</v>
      </c>
      <c r="H124" s="41">
        <f t="shared" ref="H124" si="35">F124*G124/100+F124</f>
        <v>27</v>
      </c>
      <c r="I124" s="41"/>
      <c r="J124" s="20"/>
    </row>
    <row r="125" spans="1:10" x14ac:dyDescent="0.2">
      <c r="A125" s="17">
        <v>20</v>
      </c>
      <c r="B125" s="18" t="s">
        <v>234</v>
      </c>
      <c r="C125" s="4" t="s">
        <v>16</v>
      </c>
      <c r="D125" s="4" t="s">
        <v>102</v>
      </c>
      <c r="E125" s="17">
        <v>12</v>
      </c>
      <c r="F125" s="19">
        <v>19.850000000000001</v>
      </c>
      <c r="G125" s="20">
        <v>20</v>
      </c>
      <c r="H125" s="41">
        <f t="shared" si="29"/>
        <v>23.82</v>
      </c>
      <c r="I125" s="41"/>
      <c r="J125" s="20"/>
    </row>
    <row r="126" spans="1:10" x14ac:dyDescent="0.2">
      <c r="A126" s="17">
        <v>21</v>
      </c>
      <c r="B126" s="18" t="s">
        <v>238</v>
      </c>
      <c r="C126" s="4" t="s">
        <v>16</v>
      </c>
      <c r="D126" s="4" t="s">
        <v>433</v>
      </c>
      <c r="E126" s="17">
        <v>6</v>
      </c>
      <c r="F126" s="19">
        <v>19.850000000000001</v>
      </c>
      <c r="G126" s="20">
        <v>20</v>
      </c>
      <c r="H126" s="41">
        <f>F126*G126/100+F126</f>
        <v>23.82</v>
      </c>
      <c r="I126" s="41"/>
      <c r="J126" s="20"/>
    </row>
    <row r="127" spans="1:10" x14ac:dyDescent="0.2">
      <c r="A127" s="17">
        <v>22</v>
      </c>
      <c r="B127" s="18" t="s">
        <v>235</v>
      </c>
      <c r="C127" s="4" t="s">
        <v>16</v>
      </c>
      <c r="D127" s="4" t="s">
        <v>102</v>
      </c>
      <c r="E127" s="17">
        <v>12</v>
      </c>
      <c r="F127" s="19">
        <v>19.850000000000001</v>
      </c>
      <c r="G127" s="20">
        <v>20</v>
      </c>
      <c r="H127" s="41">
        <f t="shared" si="29"/>
        <v>23.82</v>
      </c>
      <c r="I127" s="41"/>
      <c r="J127" s="20"/>
    </row>
    <row r="128" spans="1:10" x14ac:dyDescent="0.2">
      <c r="A128" s="17">
        <v>23</v>
      </c>
      <c r="B128" s="18" t="s">
        <v>239</v>
      </c>
      <c r="C128" s="4" t="s">
        <v>16</v>
      </c>
      <c r="D128" s="4" t="s">
        <v>433</v>
      </c>
      <c r="E128" s="17">
        <v>6</v>
      </c>
      <c r="F128" s="19">
        <v>19.850000000000001</v>
      </c>
      <c r="G128" s="20">
        <v>20</v>
      </c>
      <c r="H128" s="41">
        <f>F128*G128/100+F128</f>
        <v>23.82</v>
      </c>
      <c r="I128" s="41"/>
      <c r="J128" s="20"/>
    </row>
    <row r="129" spans="1:10" x14ac:dyDescent="0.2">
      <c r="A129" s="17">
        <v>24</v>
      </c>
      <c r="B129" s="18" t="s">
        <v>236</v>
      </c>
      <c r="C129" s="4" t="s">
        <v>16</v>
      </c>
      <c r="D129" s="4" t="s">
        <v>102</v>
      </c>
      <c r="E129" s="17">
        <v>12</v>
      </c>
      <c r="F129" s="19">
        <v>19.850000000000001</v>
      </c>
      <c r="G129" s="20">
        <v>20</v>
      </c>
      <c r="H129" s="41">
        <f t="shared" si="29"/>
        <v>23.82</v>
      </c>
      <c r="I129" s="41"/>
      <c r="J129" s="20"/>
    </row>
    <row r="130" spans="1:10" x14ac:dyDescent="0.2">
      <c r="A130" s="17">
        <v>25</v>
      </c>
      <c r="B130" s="18" t="s">
        <v>240</v>
      </c>
      <c r="C130" s="4" t="s">
        <v>16</v>
      </c>
      <c r="D130" s="4" t="s">
        <v>433</v>
      </c>
      <c r="E130" s="17">
        <v>6</v>
      </c>
      <c r="F130" s="19">
        <v>19.850000000000001</v>
      </c>
      <c r="G130" s="20">
        <v>20</v>
      </c>
      <c r="H130" s="41">
        <f>F130*G130/100+F130</f>
        <v>23.82</v>
      </c>
      <c r="I130" s="41"/>
      <c r="J130" s="20"/>
    </row>
    <row r="131" spans="1:10" x14ac:dyDescent="0.2">
      <c r="A131" s="17">
        <v>26</v>
      </c>
      <c r="B131" s="2" t="s">
        <v>55</v>
      </c>
      <c r="C131" s="4" t="s">
        <v>16</v>
      </c>
      <c r="D131" s="4" t="s">
        <v>433</v>
      </c>
      <c r="E131" s="17">
        <v>6</v>
      </c>
      <c r="F131" s="19">
        <v>17.899999999999999</v>
      </c>
      <c r="G131" s="20">
        <v>20</v>
      </c>
      <c r="H131" s="41">
        <f t="shared" si="29"/>
        <v>21.479999999999997</v>
      </c>
      <c r="I131" s="41"/>
      <c r="J131" s="20"/>
    </row>
    <row r="132" spans="1:10" x14ac:dyDescent="0.2">
      <c r="A132" s="17">
        <v>27</v>
      </c>
      <c r="B132" s="2" t="s">
        <v>120</v>
      </c>
      <c r="C132" s="4" t="s">
        <v>16</v>
      </c>
      <c r="D132" s="4" t="s">
        <v>102</v>
      </c>
      <c r="E132" s="17">
        <v>6</v>
      </c>
      <c r="F132" s="19">
        <v>17.899999999999999</v>
      </c>
      <c r="G132" s="20">
        <v>20</v>
      </c>
      <c r="H132" s="41">
        <f t="shared" si="29"/>
        <v>21.479999999999997</v>
      </c>
      <c r="I132" s="41"/>
      <c r="J132" s="20"/>
    </row>
    <row r="133" spans="1:10" x14ac:dyDescent="0.2">
      <c r="A133" s="17">
        <v>28</v>
      </c>
      <c r="B133" s="2" t="s">
        <v>56</v>
      </c>
      <c r="C133" s="4" t="s">
        <v>16</v>
      </c>
      <c r="D133" s="4" t="s">
        <v>57</v>
      </c>
      <c r="E133" s="17">
        <v>6</v>
      </c>
      <c r="F133" s="19">
        <v>22.5</v>
      </c>
      <c r="G133" s="20">
        <v>20</v>
      </c>
      <c r="H133" s="41">
        <f t="shared" si="29"/>
        <v>27</v>
      </c>
      <c r="I133" s="41"/>
      <c r="J133" s="20"/>
    </row>
    <row r="134" spans="1:10" x14ac:dyDescent="0.2">
      <c r="A134" s="17">
        <v>29</v>
      </c>
      <c r="B134" s="2" t="s">
        <v>119</v>
      </c>
      <c r="C134" s="4" t="s">
        <v>16</v>
      </c>
      <c r="D134" s="4" t="s">
        <v>102</v>
      </c>
      <c r="E134" s="17">
        <v>6</v>
      </c>
      <c r="F134" s="19">
        <v>22.5</v>
      </c>
      <c r="G134" s="20">
        <v>20</v>
      </c>
      <c r="H134" s="41">
        <f t="shared" si="29"/>
        <v>27</v>
      </c>
      <c r="I134" s="41"/>
      <c r="J134" s="20"/>
    </row>
    <row r="135" spans="1:10" x14ac:dyDescent="0.2">
      <c r="A135" s="17">
        <v>30</v>
      </c>
      <c r="B135" s="31" t="s">
        <v>503</v>
      </c>
      <c r="C135" s="4" t="s">
        <v>15</v>
      </c>
      <c r="D135" s="4" t="s">
        <v>149</v>
      </c>
      <c r="E135" s="17">
        <v>2</v>
      </c>
      <c r="F135" s="19">
        <v>29</v>
      </c>
      <c r="G135" s="20">
        <v>10</v>
      </c>
      <c r="H135" s="41">
        <f>F135*G135/100+F135</f>
        <v>31.9</v>
      </c>
      <c r="I135" s="41"/>
      <c r="J135" s="20"/>
    </row>
    <row r="136" spans="1:10" x14ac:dyDescent="0.2">
      <c r="A136" s="17">
        <v>31</v>
      </c>
      <c r="B136" s="31" t="s">
        <v>504</v>
      </c>
      <c r="C136" s="4" t="s">
        <v>15</v>
      </c>
      <c r="D136" s="4" t="s">
        <v>149</v>
      </c>
      <c r="E136" s="17">
        <v>12</v>
      </c>
      <c r="F136" s="19">
        <v>4.75</v>
      </c>
      <c r="G136" s="20">
        <v>10</v>
      </c>
      <c r="H136" s="41">
        <f>F136*G136/100+F136</f>
        <v>5.2249999999999996</v>
      </c>
      <c r="I136" s="41"/>
      <c r="J136" s="20"/>
    </row>
    <row r="137" spans="1:10" x14ac:dyDescent="0.2">
      <c r="A137" s="17">
        <v>32</v>
      </c>
      <c r="B137" s="31" t="s">
        <v>505</v>
      </c>
      <c r="C137" s="4" t="s">
        <v>15</v>
      </c>
      <c r="D137" s="4" t="s">
        <v>149</v>
      </c>
      <c r="E137" s="17">
        <v>3</v>
      </c>
      <c r="F137" s="19">
        <v>23.5</v>
      </c>
      <c r="G137" s="20">
        <v>10</v>
      </c>
      <c r="H137" s="41">
        <f>F137*G137/100+F137</f>
        <v>25.85</v>
      </c>
      <c r="I137" s="41"/>
      <c r="J137" s="20"/>
    </row>
    <row r="138" spans="1:10" x14ac:dyDescent="0.2">
      <c r="A138" s="17">
        <v>33</v>
      </c>
      <c r="B138" s="18" t="s">
        <v>346</v>
      </c>
      <c r="C138" s="4" t="s">
        <v>15</v>
      </c>
      <c r="D138" s="4" t="s">
        <v>102</v>
      </c>
      <c r="E138" s="17">
        <v>6</v>
      </c>
      <c r="F138" s="19">
        <v>4.25</v>
      </c>
      <c r="G138" s="20">
        <v>20</v>
      </c>
      <c r="H138" s="41">
        <f t="shared" ref="H138:H150" si="36">F138*G138/100+F138</f>
        <v>5.0999999999999996</v>
      </c>
      <c r="I138" s="41"/>
      <c r="J138" s="64" t="s">
        <v>258</v>
      </c>
    </row>
    <row r="139" spans="1:10" x14ac:dyDescent="0.2">
      <c r="A139" s="17">
        <v>34</v>
      </c>
      <c r="B139" s="18" t="s">
        <v>347</v>
      </c>
      <c r="C139" s="4" t="s">
        <v>15</v>
      </c>
      <c r="D139" s="4" t="s">
        <v>102</v>
      </c>
      <c r="E139" s="17">
        <v>6</v>
      </c>
      <c r="F139" s="19">
        <v>7.4</v>
      </c>
      <c r="G139" s="20">
        <v>20</v>
      </c>
      <c r="H139" s="41">
        <f t="shared" si="36"/>
        <v>8.8800000000000008</v>
      </c>
      <c r="I139" s="41"/>
      <c r="J139" s="64" t="s">
        <v>262</v>
      </c>
    </row>
    <row r="140" spans="1:10" x14ac:dyDescent="0.2">
      <c r="A140" s="17">
        <v>35</v>
      </c>
      <c r="B140" s="18" t="s">
        <v>502</v>
      </c>
      <c r="C140" s="4" t="s">
        <v>15</v>
      </c>
      <c r="D140" s="4" t="s">
        <v>102</v>
      </c>
      <c r="E140" s="17">
        <v>6</v>
      </c>
      <c r="F140" s="19">
        <v>2.9</v>
      </c>
      <c r="G140" s="20">
        <v>20</v>
      </c>
      <c r="H140" s="41">
        <f t="shared" ref="H140" si="37">F140*G140/100+F140</f>
        <v>3.48</v>
      </c>
      <c r="I140" s="41"/>
      <c r="J140" s="64" t="s">
        <v>495</v>
      </c>
    </row>
    <row r="141" spans="1:10" x14ac:dyDescent="0.2">
      <c r="A141" s="17">
        <v>36</v>
      </c>
      <c r="B141" s="18" t="s">
        <v>563</v>
      </c>
      <c r="C141" s="4" t="s">
        <v>15</v>
      </c>
      <c r="D141" s="4" t="s">
        <v>102</v>
      </c>
      <c r="E141" s="17">
        <v>6</v>
      </c>
      <c r="F141" s="19">
        <v>5.0999999999999996</v>
      </c>
      <c r="G141" s="20">
        <v>20</v>
      </c>
      <c r="H141" s="41">
        <f t="shared" ref="H141:H142" si="38">F141*G141/100+F141</f>
        <v>6.1199999999999992</v>
      </c>
      <c r="I141" s="41"/>
      <c r="J141" s="64" t="s">
        <v>565</v>
      </c>
    </row>
    <row r="142" spans="1:10" x14ac:dyDescent="0.2">
      <c r="A142" s="17">
        <v>37</v>
      </c>
      <c r="B142" s="18" t="s">
        <v>564</v>
      </c>
      <c r="C142" s="4" t="s">
        <v>15</v>
      </c>
      <c r="D142" s="4" t="s">
        <v>102</v>
      </c>
      <c r="E142" s="17">
        <v>6</v>
      </c>
      <c r="F142" s="19">
        <v>2.6</v>
      </c>
      <c r="G142" s="20">
        <v>20</v>
      </c>
      <c r="H142" s="41">
        <f t="shared" si="38"/>
        <v>3.12</v>
      </c>
      <c r="I142" s="41"/>
      <c r="J142" s="64" t="s">
        <v>566</v>
      </c>
    </row>
    <row r="143" spans="1:10" x14ac:dyDescent="0.2">
      <c r="A143" s="17">
        <v>38</v>
      </c>
      <c r="B143" s="18" t="s">
        <v>348</v>
      </c>
      <c r="C143" s="4" t="s">
        <v>15</v>
      </c>
      <c r="D143" s="4" t="s">
        <v>102</v>
      </c>
      <c r="E143" s="17">
        <v>12</v>
      </c>
      <c r="F143" s="19">
        <v>4.5999999999999996</v>
      </c>
      <c r="G143" s="20">
        <v>20</v>
      </c>
      <c r="H143" s="41">
        <f t="shared" si="36"/>
        <v>5.52</v>
      </c>
      <c r="I143" s="41"/>
      <c r="J143" s="64" t="s">
        <v>261</v>
      </c>
    </row>
    <row r="144" spans="1:10" x14ac:dyDescent="0.2">
      <c r="A144" s="17">
        <v>39</v>
      </c>
      <c r="B144" s="18" t="s">
        <v>496</v>
      </c>
      <c r="C144" s="4" t="s">
        <v>15</v>
      </c>
      <c r="D144" s="4" t="s">
        <v>102</v>
      </c>
      <c r="E144" s="17">
        <v>12</v>
      </c>
      <c r="F144" s="19">
        <v>4.3</v>
      </c>
      <c r="G144" s="20">
        <v>10</v>
      </c>
      <c r="H144" s="41">
        <f t="shared" si="36"/>
        <v>4.7299999999999995</v>
      </c>
      <c r="I144" s="41"/>
      <c r="J144" s="64" t="s">
        <v>260</v>
      </c>
    </row>
    <row r="145" spans="1:10" x14ac:dyDescent="0.2">
      <c r="A145" s="17">
        <v>40</v>
      </c>
      <c r="B145" s="18" t="s">
        <v>497</v>
      </c>
      <c r="C145" s="4" t="s">
        <v>15</v>
      </c>
      <c r="D145" s="4" t="s">
        <v>102</v>
      </c>
      <c r="E145" s="17">
        <v>12</v>
      </c>
      <c r="F145" s="19">
        <v>4.4000000000000004</v>
      </c>
      <c r="G145" s="20">
        <v>20</v>
      </c>
      <c r="H145" s="41">
        <f t="shared" si="36"/>
        <v>5.28</v>
      </c>
      <c r="I145" s="41"/>
      <c r="J145" s="64" t="s">
        <v>256</v>
      </c>
    </row>
    <row r="146" spans="1:10" x14ac:dyDescent="0.2">
      <c r="A146" s="17">
        <v>41</v>
      </c>
      <c r="B146" s="18" t="s">
        <v>498</v>
      </c>
      <c r="C146" s="4" t="s">
        <v>15</v>
      </c>
      <c r="D146" s="4" t="s">
        <v>102</v>
      </c>
      <c r="E146" s="17">
        <v>12</v>
      </c>
      <c r="F146" s="19">
        <v>11.5</v>
      </c>
      <c r="G146" s="20">
        <v>20</v>
      </c>
      <c r="H146" s="41">
        <f t="shared" si="36"/>
        <v>13.8</v>
      </c>
      <c r="I146" s="41"/>
      <c r="J146" s="64" t="s">
        <v>259</v>
      </c>
    </row>
    <row r="147" spans="1:10" x14ac:dyDescent="0.2">
      <c r="A147" s="17">
        <v>42</v>
      </c>
      <c r="B147" s="18" t="s">
        <v>499</v>
      </c>
      <c r="C147" s="4" t="s">
        <v>15</v>
      </c>
      <c r="D147" s="4" t="s">
        <v>102</v>
      </c>
      <c r="E147" s="17">
        <v>12</v>
      </c>
      <c r="F147" s="19">
        <v>7.5</v>
      </c>
      <c r="G147" s="20">
        <v>20</v>
      </c>
      <c r="H147" s="41">
        <f t="shared" si="36"/>
        <v>9</v>
      </c>
      <c r="I147" s="41"/>
      <c r="J147" s="64" t="s">
        <v>255</v>
      </c>
    </row>
    <row r="148" spans="1:10" x14ac:dyDescent="0.2">
      <c r="A148" s="17">
        <v>43</v>
      </c>
      <c r="B148" s="18" t="s">
        <v>500</v>
      </c>
      <c r="C148" s="4" t="s">
        <v>15</v>
      </c>
      <c r="D148" s="4" t="s">
        <v>102</v>
      </c>
      <c r="E148" s="17">
        <v>12</v>
      </c>
      <c r="F148" s="19">
        <v>11.4</v>
      </c>
      <c r="G148" s="20">
        <v>20</v>
      </c>
      <c r="H148" s="41">
        <f t="shared" si="36"/>
        <v>13.68</v>
      </c>
      <c r="I148" s="41"/>
      <c r="J148" s="64" t="s">
        <v>257</v>
      </c>
    </row>
    <row r="149" spans="1:10" x14ac:dyDescent="0.2">
      <c r="A149" s="17">
        <v>44</v>
      </c>
      <c r="B149" s="18" t="s">
        <v>501</v>
      </c>
      <c r="C149" s="4" t="s">
        <v>15</v>
      </c>
      <c r="D149" s="4" t="s">
        <v>102</v>
      </c>
      <c r="E149" s="17">
        <v>12</v>
      </c>
      <c r="F149" s="19">
        <v>17.600000000000001</v>
      </c>
      <c r="G149" s="20">
        <v>20</v>
      </c>
      <c r="H149" s="41">
        <f t="shared" si="36"/>
        <v>21.12</v>
      </c>
      <c r="I149" s="41"/>
      <c r="J149" s="64" t="s">
        <v>263</v>
      </c>
    </row>
    <row r="150" spans="1:10" x14ac:dyDescent="0.2">
      <c r="A150" s="17">
        <v>46</v>
      </c>
      <c r="B150" s="18" t="s">
        <v>265</v>
      </c>
      <c r="C150" s="4" t="s">
        <v>15</v>
      </c>
      <c r="D150" s="4" t="s">
        <v>149</v>
      </c>
      <c r="E150" s="17">
        <v>15</v>
      </c>
      <c r="F150" s="19">
        <v>4.8499999999999996</v>
      </c>
      <c r="G150" s="20">
        <v>20</v>
      </c>
      <c r="H150" s="41">
        <f t="shared" si="36"/>
        <v>5.8199999999999994</v>
      </c>
      <c r="I150" s="41"/>
      <c r="J150" s="64" t="s">
        <v>266</v>
      </c>
    </row>
    <row r="151" spans="1:10" ht="24" x14ac:dyDescent="0.2">
      <c r="A151" s="17">
        <v>47</v>
      </c>
      <c r="B151" s="18" t="s">
        <v>349</v>
      </c>
      <c r="C151" s="4" t="s">
        <v>15</v>
      </c>
      <c r="D151" s="4" t="s">
        <v>102</v>
      </c>
      <c r="E151" s="17">
        <v>6</v>
      </c>
      <c r="F151" s="19">
        <v>25.6</v>
      </c>
      <c r="G151" s="20">
        <v>20</v>
      </c>
      <c r="H151" s="41">
        <f t="shared" ref="H151:H158" si="39">F151*G151/100+F151</f>
        <v>30.720000000000002</v>
      </c>
      <c r="I151" s="41"/>
      <c r="J151" s="64" t="s">
        <v>280</v>
      </c>
    </row>
    <row r="152" spans="1:10" x14ac:dyDescent="0.2">
      <c r="A152" s="17">
        <v>48</v>
      </c>
      <c r="B152" s="18" t="s">
        <v>270</v>
      </c>
      <c r="C152" s="4" t="s">
        <v>15</v>
      </c>
      <c r="D152" s="4" t="s">
        <v>102</v>
      </c>
      <c r="E152" s="17">
        <v>6</v>
      </c>
      <c r="F152" s="19">
        <v>8.9499999999999993</v>
      </c>
      <c r="G152" s="20">
        <v>20</v>
      </c>
      <c r="H152" s="41">
        <f t="shared" si="39"/>
        <v>10.739999999999998</v>
      </c>
      <c r="I152" s="41"/>
      <c r="J152" s="64" t="s">
        <v>283</v>
      </c>
    </row>
    <row r="153" spans="1:10" x14ac:dyDescent="0.2">
      <c r="A153" s="17">
        <v>49</v>
      </c>
      <c r="B153" s="18" t="s">
        <v>271</v>
      </c>
      <c r="C153" s="4" t="s">
        <v>15</v>
      </c>
      <c r="D153" s="4" t="s">
        <v>102</v>
      </c>
      <c r="E153" s="17">
        <v>6</v>
      </c>
      <c r="F153" s="19">
        <v>25.6</v>
      </c>
      <c r="G153" s="20">
        <v>20</v>
      </c>
      <c r="H153" s="41">
        <f t="shared" si="39"/>
        <v>30.720000000000002</v>
      </c>
      <c r="I153" s="41"/>
      <c r="J153" s="64" t="s">
        <v>282</v>
      </c>
    </row>
    <row r="154" spans="1:10" x14ac:dyDescent="0.2">
      <c r="A154" s="17">
        <v>50</v>
      </c>
      <c r="B154" s="18" t="s">
        <v>272</v>
      </c>
      <c r="C154" s="4" t="s">
        <v>15</v>
      </c>
      <c r="D154" s="4" t="s">
        <v>102</v>
      </c>
      <c r="E154" s="17">
        <v>6</v>
      </c>
      <c r="F154" s="19">
        <v>22.8</v>
      </c>
      <c r="G154" s="20">
        <v>10</v>
      </c>
      <c r="H154" s="41">
        <f t="shared" si="39"/>
        <v>25.080000000000002</v>
      </c>
      <c r="I154" s="41"/>
      <c r="J154" s="64" t="s">
        <v>281</v>
      </c>
    </row>
    <row r="155" spans="1:10" x14ac:dyDescent="0.2">
      <c r="A155" s="17">
        <v>51</v>
      </c>
      <c r="B155" s="18" t="s">
        <v>273</v>
      </c>
      <c r="C155" s="4" t="s">
        <v>15</v>
      </c>
      <c r="D155" s="4" t="s">
        <v>102</v>
      </c>
      <c r="E155" s="17">
        <v>6</v>
      </c>
      <c r="F155" s="19">
        <v>52.9</v>
      </c>
      <c r="G155" s="20">
        <v>20</v>
      </c>
      <c r="H155" s="41">
        <f t="shared" si="39"/>
        <v>63.48</v>
      </c>
      <c r="I155" s="41"/>
      <c r="J155" s="64" t="s">
        <v>284</v>
      </c>
    </row>
    <row r="156" spans="1:10" ht="24" x14ac:dyDescent="0.2">
      <c r="A156" s="17">
        <v>52</v>
      </c>
      <c r="B156" s="18" t="s">
        <v>274</v>
      </c>
      <c r="C156" s="4" t="s">
        <v>15</v>
      </c>
      <c r="D156" s="4" t="s">
        <v>102</v>
      </c>
      <c r="E156" s="17">
        <v>6</v>
      </c>
      <c r="F156" s="19">
        <v>9.8000000000000007</v>
      </c>
      <c r="G156" s="20">
        <v>20</v>
      </c>
      <c r="H156" s="41">
        <f t="shared" si="39"/>
        <v>11.760000000000002</v>
      </c>
      <c r="I156" s="41"/>
      <c r="J156" s="64" t="s">
        <v>279</v>
      </c>
    </row>
    <row r="157" spans="1:10" ht="24" x14ac:dyDescent="0.2">
      <c r="A157" s="17">
        <v>53</v>
      </c>
      <c r="B157" s="18" t="s">
        <v>275</v>
      </c>
      <c r="C157" s="4" t="s">
        <v>15</v>
      </c>
      <c r="D157" s="4" t="s">
        <v>102</v>
      </c>
      <c r="E157" s="17">
        <v>6</v>
      </c>
      <c r="F157" s="19">
        <v>9.8000000000000007</v>
      </c>
      <c r="G157" s="20">
        <v>20</v>
      </c>
      <c r="H157" s="41">
        <f t="shared" si="39"/>
        <v>11.760000000000002</v>
      </c>
      <c r="I157" s="41"/>
      <c r="J157" s="64" t="s">
        <v>277</v>
      </c>
    </row>
    <row r="158" spans="1:10" ht="24" x14ac:dyDescent="0.2">
      <c r="A158" s="17">
        <v>54</v>
      </c>
      <c r="B158" s="18" t="s">
        <v>276</v>
      </c>
      <c r="C158" s="4" t="s">
        <v>15</v>
      </c>
      <c r="D158" s="4" t="s">
        <v>102</v>
      </c>
      <c r="E158" s="17">
        <v>6</v>
      </c>
      <c r="F158" s="19">
        <v>9.8000000000000007</v>
      </c>
      <c r="G158" s="20">
        <v>20</v>
      </c>
      <c r="H158" s="41">
        <f t="shared" si="39"/>
        <v>11.760000000000002</v>
      </c>
      <c r="I158" s="41"/>
      <c r="J158" s="64" t="s">
        <v>278</v>
      </c>
    </row>
    <row r="159" spans="1:10" ht="15.75" customHeight="1" x14ac:dyDescent="0.2">
      <c r="A159" s="91" t="s">
        <v>6</v>
      </c>
      <c r="B159" s="92"/>
      <c r="C159" s="92"/>
      <c r="D159" s="92"/>
      <c r="E159" s="92"/>
      <c r="F159" s="92"/>
      <c r="G159" s="92"/>
      <c r="H159" s="92"/>
      <c r="I159" s="57"/>
      <c r="J159" s="20"/>
    </row>
    <row r="160" spans="1:10" x14ac:dyDescent="0.2">
      <c r="A160" s="17">
        <v>1</v>
      </c>
      <c r="B160" s="18" t="s">
        <v>90</v>
      </c>
      <c r="C160" s="4" t="s">
        <v>20</v>
      </c>
      <c r="D160" s="5" t="s">
        <v>26</v>
      </c>
      <c r="E160" s="4">
        <v>12</v>
      </c>
      <c r="F160" s="19">
        <v>7.8</v>
      </c>
      <c r="G160" s="8">
        <v>20</v>
      </c>
      <c r="H160" s="19">
        <f t="shared" ref="H160:H167" si="40">F160*G160/100+F160</f>
        <v>9.36</v>
      </c>
      <c r="I160" s="19"/>
      <c r="J160" s="19"/>
    </row>
    <row r="161" spans="1:10" x14ac:dyDescent="0.2">
      <c r="A161" s="17">
        <v>2</v>
      </c>
      <c r="B161" s="18" t="s">
        <v>118</v>
      </c>
      <c r="C161" s="4" t="s">
        <v>20</v>
      </c>
      <c r="D161" s="5" t="s">
        <v>25</v>
      </c>
      <c r="E161" s="4">
        <v>12</v>
      </c>
      <c r="F161" s="19">
        <v>6</v>
      </c>
      <c r="G161" s="8">
        <v>20</v>
      </c>
      <c r="H161" s="19">
        <f t="shared" si="40"/>
        <v>7.2</v>
      </c>
      <c r="I161" s="19"/>
      <c r="J161" s="19"/>
    </row>
    <row r="162" spans="1:10" x14ac:dyDescent="0.2">
      <c r="A162" s="17">
        <v>3</v>
      </c>
      <c r="B162" s="18" t="s">
        <v>615</v>
      </c>
      <c r="C162" s="4" t="s">
        <v>20</v>
      </c>
      <c r="D162" s="5" t="s">
        <v>26</v>
      </c>
      <c r="E162" s="4">
        <v>12</v>
      </c>
      <c r="F162" s="19">
        <v>7</v>
      </c>
      <c r="G162" s="8">
        <v>20</v>
      </c>
      <c r="H162" s="19">
        <f t="shared" ref="H162" si="41">F162*G162/100+F162</f>
        <v>8.4</v>
      </c>
      <c r="I162" s="19"/>
      <c r="J162" s="19"/>
    </row>
    <row r="163" spans="1:10" x14ac:dyDescent="0.2">
      <c r="A163" s="17">
        <v>3</v>
      </c>
      <c r="B163" s="18" t="s">
        <v>508</v>
      </c>
      <c r="C163" s="4"/>
      <c r="D163" s="5" t="s">
        <v>26</v>
      </c>
      <c r="E163" s="4"/>
      <c r="F163" s="19">
        <v>3.9</v>
      </c>
      <c r="G163" s="8">
        <v>20</v>
      </c>
      <c r="H163" s="19">
        <f t="shared" si="40"/>
        <v>4.68</v>
      </c>
      <c r="I163" s="19"/>
      <c r="J163" s="19"/>
    </row>
    <row r="164" spans="1:10" x14ac:dyDescent="0.2">
      <c r="A164" s="17">
        <v>4</v>
      </c>
      <c r="B164" s="18" t="s">
        <v>614</v>
      </c>
      <c r="C164" s="4"/>
      <c r="D164" s="5" t="s">
        <v>26</v>
      </c>
      <c r="E164" s="4"/>
      <c r="F164" s="19">
        <v>7</v>
      </c>
      <c r="G164" s="8">
        <v>20</v>
      </c>
      <c r="H164" s="19">
        <f t="shared" ref="H164" si="42">F164*G164/100+F164</f>
        <v>8.4</v>
      </c>
      <c r="I164" s="19"/>
      <c r="J164" s="19"/>
    </row>
    <row r="165" spans="1:10" x14ac:dyDescent="0.2">
      <c r="A165" s="17">
        <v>4</v>
      </c>
      <c r="B165" s="18" t="s">
        <v>559</v>
      </c>
      <c r="C165" s="4"/>
      <c r="D165" s="5" t="s">
        <v>26</v>
      </c>
      <c r="E165" s="4"/>
      <c r="F165" s="19">
        <v>12.5</v>
      </c>
      <c r="G165" s="8">
        <v>20</v>
      </c>
      <c r="H165" s="19">
        <f t="shared" ref="H165" si="43">F165*G165/100+F165</f>
        <v>15</v>
      </c>
      <c r="I165" s="19"/>
      <c r="J165" s="77" t="s">
        <v>560</v>
      </c>
    </row>
    <row r="166" spans="1:10" x14ac:dyDescent="0.2">
      <c r="A166" s="17">
        <v>5</v>
      </c>
      <c r="B166" s="18" t="s">
        <v>510</v>
      </c>
      <c r="C166" s="4" t="s">
        <v>154</v>
      </c>
      <c r="D166" s="5" t="s">
        <v>26</v>
      </c>
      <c r="E166" s="4">
        <v>24</v>
      </c>
      <c r="F166" s="19">
        <v>6.05</v>
      </c>
      <c r="G166" s="8">
        <v>20</v>
      </c>
      <c r="H166" s="19">
        <f t="shared" si="40"/>
        <v>7.26</v>
      </c>
      <c r="I166" s="19"/>
      <c r="J166" s="19"/>
    </row>
    <row r="167" spans="1:10" x14ac:dyDescent="0.2">
      <c r="A167" s="17">
        <v>6</v>
      </c>
      <c r="B167" s="18" t="s">
        <v>603</v>
      </c>
      <c r="C167" s="4" t="s">
        <v>21</v>
      </c>
      <c r="D167" s="5" t="s">
        <v>26</v>
      </c>
      <c r="E167" s="4">
        <v>24</v>
      </c>
      <c r="F167" s="19">
        <v>5.6</v>
      </c>
      <c r="G167" s="8">
        <v>20</v>
      </c>
      <c r="H167" s="19">
        <f t="shared" si="40"/>
        <v>6.72</v>
      </c>
      <c r="I167" s="19"/>
      <c r="J167" s="19"/>
    </row>
    <row r="168" spans="1:10" x14ac:dyDescent="0.2">
      <c r="A168" s="17">
        <v>7</v>
      </c>
      <c r="B168" s="18" t="s">
        <v>482</v>
      </c>
      <c r="C168" s="4"/>
      <c r="D168" s="4" t="s">
        <v>25</v>
      </c>
      <c r="E168" s="4">
        <v>12</v>
      </c>
      <c r="F168" s="19">
        <v>16.55</v>
      </c>
      <c r="G168" s="8">
        <v>20</v>
      </c>
      <c r="H168" s="41">
        <f t="shared" ref="H168" si="44">F168*G168/100+F168</f>
        <v>19.86</v>
      </c>
      <c r="I168" s="41"/>
      <c r="J168" s="19"/>
    </row>
    <row r="169" spans="1:10" x14ac:dyDescent="0.2">
      <c r="A169" s="17">
        <v>8</v>
      </c>
      <c r="B169" s="3" t="s">
        <v>200</v>
      </c>
      <c r="C169" s="4" t="s">
        <v>84</v>
      </c>
      <c r="D169" s="4" t="s">
        <v>25</v>
      </c>
      <c r="E169" s="4">
        <v>12</v>
      </c>
      <c r="F169" s="19">
        <v>10.199999999999999</v>
      </c>
      <c r="G169" s="8">
        <v>20</v>
      </c>
      <c r="H169" s="41">
        <f t="shared" ref="H169:H170" si="45">F169*G169/100+F169</f>
        <v>12.239999999999998</v>
      </c>
      <c r="I169" s="41"/>
      <c r="J169" s="20"/>
    </row>
    <row r="170" spans="1:10" x14ac:dyDescent="0.2">
      <c r="A170" s="17">
        <v>9</v>
      </c>
      <c r="B170" s="3" t="s">
        <v>485</v>
      </c>
      <c r="C170" s="4" t="s">
        <v>21</v>
      </c>
      <c r="D170" s="4" t="s">
        <v>451</v>
      </c>
      <c r="E170" s="4">
        <v>12</v>
      </c>
      <c r="F170" s="19">
        <v>4.3</v>
      </c>
      <c r="G170" s="8">
        <v>20</v>
      </c>
      <c r="H170" s="41">
        <f t="shared" si="45"/>
        <v>5.16</v>
      </c>
      <c r="I170" s="29"/>
      <c r="J170" s="65" t="s">
        <v>486</v>
      </c>
    </row>
    <row r="171" spans="1:10" x14ac:dyDescent="0.2">
      <c r="A171" s="17">
        <v>10</v>
      </c>
      <c r="B171" s="3" t="s">
        <v>553</v>
      </c>
      <c r="C171" s="4" t="s">
        <v>21</v>
      </c>
      <c r="D171" s="4" t="s">
        <v>451</v>
      </c>
      <c r="E171" s="4">
        <v>12</v>
      </c>
      <c r="F171" s="19">
        <v>5</v>
      </c>
      <c r="G171" s="8">
        <v>20</v>
      </c>
      <c r="H171" s="41">
        <f t="shared" ref="H171" si="46">F171*G171/100+F171</f>
        <v>6</v>
      </c>
      <c r="I171" s="29"/>
      <c r="J171" s="65" t="s">
        <v>554</v>
      </c>
    </row>
    <row r="172" spans="1:10" x14ac:dyDescent="0.2">
      <c r="A172" s="17">
        <v>11</v>
      </c>
      <c r="B172" s="3" t="s">
        <v>555</v>
      </c>
      <c r="C172" s="4" t="s">
        <v>21</v>
      </c>
      <c r="D172" s="4" t="s">
        <v>451</v>
      </c>
      <c r="E172" s="4">
        <v>12</v>
      </c>
      <c r="F172" s="19">
        <v>4</v>
      </c>
      <c r="G172" s="8">
        <v>20</v>
      </c>
      <c r="H172" s="41">
        <f t="shared" ref="H172" si="47">F172*G172/100+F172</f>
        <v>4.8</v>
      </c>
      <c r="I172" s="29"/>
      <c r="J172" s="65" t="s">
        <v>556</v>
      </c>
    </row>
    <row r="173" spans="1:10" x14ac:dyDescent="0.2">
      <c r="A173" s="17">
        <v>12</v>
      </c>
      <c r="B173" s="3" t="s">
        <v>557</v>
      </c>
      <c r="C173" s="4" t="s">
        <v>21</v>
      </c>
      <c r="D173" s="4" t="s">
        <v>451</v>
      </c>
      <c r="E173" s="4">
        <v>12</v>
      </c>
      <c r="F173" s="19">
        <v>6.9</v>
      </c>
      <c r="G173" s="8">
        <v>20</v>
      </c>
      <c r="H173" s="41">
        <f t="shared" ref="H173" si="48">F173*G173/100+F173</f>
        <v>8.2800000000000011</v>
      </c>
      <c r="I173" s="29"/>
      <c r="J173" s="65" t="s">
        <v>558</v>
      </c>
    </row>
    <row r="174" spans="1:10" x14ac:dyDescent="0.2">
      <c r="A174" s="17">
        <v>13</v>
      </c>
      <c r="B174" s="3" t="s">
        <v>359</v>
      </c>
      <c r="C174" s="4" t="s">
        <v>19</v>
      </c>
      <c r="D174" s="4" t="s">
        <v>25</v>
      </c>
      <c r="E174" s="4">
        <v>12</v>
      </c>
      <c r="F174" s="19">
        <v>9</v>
      </c>
      <c r="G174" s="8">
        <v>20</v>
      </c>
      <c r="H174" s="41">
        <f t="shared" ref="H174" si="49">F174*G174/100+F174</f>
        <v>10.8</v>
      </c>
      <c r="I174" s="29"/>
      <c r="J174" s="63">
        <v>80803812</v>
      </c>
    </row>
    <row r="175" spans="1:10" x14ac:dyDescent="0.2">
      <c r="A175" s="17">
        <v>14</v>
      </c>
      <c r="B175" s="3" t="s">
        <v>360</v>
      </c>
      <c r="C175" s="4" t="s">
        <v>19</v>
      </c>
      <c r="D175" s="4" t="s">
        <v>25</v>
      </c>
      <c r="E175" s="4">
        <v>12</v>
      </c>
      <c r="F175" s="19">
        <v>9</v>
      </c>
      <c r="G175" s="8">
        <v>20</v>
      </c>
      <c r="H175" s="41">
        <f t="shared" ref="H175:H189" si="50">F175*G175/100+F175</f>
        <v>10.8</v>
      </c>
      <c r="I175" s="29"/>
      <c r="J175" s="63">
        <v>80803829</v>
      </c>
    </row>
    <row r="176" spans="1:10" x14ac:dyDescent="0.2">
      <c r="A176" s="17">
        <v>15</v>
      </c>
      <c r="B176" s="3" t="s">
        <v>361</v>
      </c>
      <c r="C176" s="4" t="s">
        <v>19</v>
      </c>
      <c r="D176" s="4" t="s">
        <v>25</v>
      </c>
      <c r="E176" s="4">
        <v>12</v>
      </c>
      <c r="F176" s="19">
        <v>9</v>
      </c>
      <c r="G176" s="8">
        <v>20</v>
      </c>
      <c r="H176" s="41">
        <f t="shared" si="50"/>
        <v>10.8</v>
      </c>
      <c r="I176" s="29"/>
      <c r="J176" s="63">
        <v>80803867</v>
      </c>
    </row>
    <row r="177" spans="1:10" x14ac:dyDescent="0.2">
      <c r="A177" s="17">
        <v>16</v>
      </c>
      <c r="B177" s="3" t="s">
        <v>362</v>
      </c>
      <c r="C177" s="4" t="s">
        <v>19</v>
      </c>
      <c r="D177" s="4" t="s">
        <v>25</v>
      </c>
      <c r="E177" s="4">
        <v>12</v>
      </c>
      <c r="F177" s="19">
        <v>9</v>
      </c>
      <c r="G177" s="8">
        <v>20</v>
      </c>
      <c r="H177" s="41">
        <f t="shared" si="50"/>
        <v>10.8</v>
      </c>
      <c r="I177" s="29"/>
      <c r="J177" s="63">
        <v>80803843</v>
      </c>
    </row>
    <row r="178" spans="1:10" x14ac:dyDescent="0.2">
      <c r="A178" s="17">
        <v>17</v>
      </c>
      <c r="B178" s="3" t="s">
        <v>363</v>
      </c>
      <c r="C178" s="4" t="s">
        <v>19</v>
      </c>
      <c r="D178" s="4" t="s">
        <v>25</v>
      </c>
      <c r="E178" s="4">
        <v>12</v>
      </c>
      <c r="F178" s="19">
        <v>9</v>
      </c>
      <c r="G178" s="8">
        <v>20</v>
      </c>
      <c r="H178" s="41">
        <f t="shared" si="50"/>
        <v>10.8</v>
      </c>
      <c r="I178" s="29"/>
      <c r="J178" s="65" t="s">
        <v>375</v>
      </c>
    </row>
    <row r="179" spans="1:10" x14ac:dyDescent="0.2">
      <c r="A179" s="17">
        <v>18</v>
      </c>
      <c r="B179" s="3" t="s">
        <v>364</v>
      </c>
      <c r="C179" s="4" t="s">
        <v>19</v>
      </c>
      <c r="D179" s="4" t="s">
        <v>25</v>
      </c>
      <c r="E179" s="4">
        <v>12</v>
      </c>
      <c r="F179" s="19">
        <v>9</v>
      </c>
      <c r="G179" s="8">
        <v>20</v>
      </c>
      <c r="H179" s="41">
        <f t="shared" si="50"/>
        <v>10.8</v>
      </c>
      <c r="I179" s="29"/>
      <c r="J179" s="63">
        <v>80803850</v>
      </c>
    </row>
    <row r="180" spans="1:10" x14ac:dyDescent="0.2">
      <c r="A180" s="17">
        <v>19</v>
      </c>
      <c r="B180" s="3" t="s">
        <v>365</v>
      </c>
      <c r="C180" s="4" t="s">
        <v>19</v>
      </c>
      <c r="D180" s="4" t="s">
        <v>25</v>
      </c>
      <c r="E180" s="4">
        <v>12</v>
      </c>
      <c r="F180" s="19">
        <v>9</v>
      </c>
      <c r="G180" s="8">
        <v>20</v>
      </c>
      <c r="H180" s="41">
        <f t="shared" si="50"/>
        <v>10.8</v>
      </c>
      <c r="I180" s="29"/>
      <c r="J180" s="63">
        <v>80803881</v>
      </c>
    </row>
    <row r="181" spans="1:10" x14ac:dyDescent="0.2">
      <c r="A181" s="17">
        <v>20</v>
      </c>
      <c r="B181" s="3" t="s">
        <v>366</v>
      </c>
      <c r="C181" s="4" t="s">
        <v>19</v>
      </c>
      <c r="D181" s="4" t="s">
        <v>25</v>
      </c>
      <c r="E181" s="4">
        <v>12</v>
      </c>
      <c r="F181" s="19">
        <v>11.15</v>
      </c>
      <c r="G181" s="8">
        <v>20</v>
      </c>
      <c r="H181" s="41">
        <f t="shared" si="50"/>
        <v>13.38</v>
      </c>
      <c r="I181" s="29"/>
      <c r="J181" s="63">
        <v>80298458</v>
      </c>
    </row>
    <row r="182" spans="1:10" x14ac:dyDescent="0.2">
      <c r="A182" s="17">
        <v>21</v>
      </c>
      <c r="B182" s="3" t="s">
        <v>367</v>
      </c>
      <c r="C182" s="4" t="s">
        <v>19</v>
      </c>
      <c r="D182" s="4" t="s">
        <v>25</v>
      </c>
      <c r="E182" s="4">
        <v>12</v>
      </c>
      <c r="F182" s="19">
        <v>9</v>
      </c>
      <c r="G182" s="8">
        <v>20</v>
      </c>
      <c r="H182" s="41">
        <f t="shared" si="50"/>
        <v>10.8</v>
      </c>
      <c r="I182" s="29"/>
      <c r="J182" s="63">
        <v>80298403</v>
      </c>
    </row>
    <row r="183" spans="1:10" x14ac:dyDescent="0.2">
      <c r="A183" s="17">
        <v>22</v>
      </c>
      <c r="B183" s="3" t="s">
        <v>368</v>
      </c>
      <c r="C183" s="4" t="s">
        <v>19</v>
      </c>
      <c r="D183" s="4" t="s">
        <v>25</v>
      </c>
      <c r="E183" s="4">
        <v>12</v>
      </c>
      <c r="F183" s="19">
        <v>9</v>
      </c>
      <c r="G183" s="8">
        <v>20</v>
      </c>
      <c r="H183" s="41">
        <f t="shared" si="50"/>
        <v>10.8</v>
      </c>
      <c r="I183" s="29"/>
      <c r="J183" s="63">
        <v>80298434</v>
      </c>
    </row>
    <row r="184" spans="1:10" x14ac:dyDescent="0.2">
      <c r="A184" s="17">
        <v>23</v>
      </c>
      <c r="B184" s="3" t="s">
        <v>369</v>
      </c>
      <c r="C184" s="4" t="s">
        <v>19</v>
      </c>
      <c r="D184" s="4" t="s">
        <v>25</v>
      </c>
      <c r="E184" s="4">
        <v>12</v>
      </c>
      <c r="F184" s="19">
        <v>9</v>
      </c>
      <c r="G184" s="8">
        <v>20</v>
      </c>
      <c r="H184" s="41">
        <f t="shared" si="50"/>
        <v>10.8</v>
      </c>
      <c r="I184" s="29"/>
      <c r="J184" s="63">
        <v>80298311</v>
      </c>
    </row>
    <row r="185" spans="1:10" x14ac:dyDescent="0.2">
      <c r="A185" s="17">
        <v>24</v>
      </c>
      <c r="B185" s="3" t="s">
        <v>370</v>
      </c>
      <c r="C185" s="4" t="s">
        <v>19</v>
      </c>
      <c r="D185" s="4" t="s">
        <v>25</v>
      </c>
      <c r="E185" s="4">
        <v>12</v>
      </c>
      <c r="F185" s="19">
        <v>9</v>
      </c>
      <c r="G185" s="8">
        <v>20</v>
      </c>
      <c r="H185" s="41">
        <f t="shared" si="50"/>
        <v>10.8</v>
      </c>
      <c r="I185" s="29"/>
      <c r="J185" s="63">
        <v>80298335</v>
      </c>
    </row>
    <row r="186" spans="1:10" x14ac:dyDescent="0.2">
      <c r="A186" s="17">
        <v>25</v>
      </c>
      <c r="B186" s="3" t="s">
        <v>371</v>
      </c>
      <c r="C186" s="4" t="s">
        <v>19</v>
      </c>
      <c r="D186" s="4" t="s">
        <v>25</v>
      </c>
      <c r="E186" s="4">
        <v>6</v>
      </c>
      <c r="F186" s="19">
        <v>13.5</v>
      </c>
      <c r="G186" s="8">
        <v>20</v>
      </c>
      <c r="H186" s="41">
        <f t="shared" si="50"/>
        <v>16.2</v>
      </c>
      <c r="I186" s="29"/>
      <c r="J186" s="65" t="s">
        <v>376</v>
      </c>
    </row>
    <row r="187" spans="1:10" x14ac:dyDescent="0.2">
      <c r="A187" s="17">
        <v>26</v>
      </c>
      <c r="B187" s="3" t="s">
        <v>372</v>
      </c>
      <c r="C187" s="4" t="s">
        <v>19</v>
      </c>
      <c r="D187" s="4" t="s">
        <v>25</v>
      </c>
      <c r="E187" s="4">
        <v>6</v>
      </c>
      <c r="F187" s="19">
        <v>13.5</v>
      </c>
      <c r="G187" s="8">
        <v>20</v>
      </c>
      <c r="H187" s="41">
        <f t="shared" si="50"/>
        <v>16.2</v>
      </c>
      <c r="I187" s="29"/>
      <c r="J187" s="65" t="s">
        <v>377</v>
      </c>
    </row>
    <row r="188" spans="1:10" x14ac:dyDescent="0.2">
      <c r="A188" s="17">
        <v>27</v>
      </c>
      <c r="B188" s="3" t="s">
        <v>373</v>
      </c>
      <c r="C188" s="4" t="s">
        <v>19</v>
      </c>
      <c r="D188" s="4" t="s">
        <v>25</v>
      </c>
      <c r="E188" s="4">
        <v>6</v>
      </c>
      <c r="F188" s="19">
        <v>13.5</v>
      </c>
      <c r="G188" s="8">
        <v>20</v>
      </c>
      <c r="H188" s="41">
        <f t="shared" si="50"/>
        <v>16.2</v>
      </c>
      <c r="I188" s="29"/>
      <c r="J188" s="65" t="s">
        <v>378</v>
      </c>
    </row>
    <row r="189" spans="1:10" x14ac:dyDescent="0.2">
      <c r="A189" s="17">
        <v>28</v>
      </c>
      <c r="B189" s="3" t="s">
        <v>374</v>
      </c>
      <c r="C189" s="4" t="s">
        <v>19</v>
      </c>
      <c r="D189" s="4" t="s">
        <v>25</v>
      </c>
      <c r="E189" s="4">
        <v>6</v>
      </c>
      <c r="F189" s="19">
        <v>13.5</v>
      </c>
      <c r="G189" s="8">
        <v>20</v>
      </c>
      <c r="H189" s="41">
        <f t="shared" si="50"/>
        <v>16.2</v>
      </c>
      <c r="I189" s="29"/>
      <c r="J189" s="65" t="s">
        <v>379</v>
      </c>
    </row>
    <row r="190" spans="1:10" ht="15.75" customHeight="1" x14ac:dyDescent="0.2">
      <c r="A190" s="91" t="s">
        <v>612</v>
      </c>
      <c r="B190" s="92"/>
      <c r="C190" s="92"/>
      <c r="D190" s="92"/>
      <c r="E190" s="92"/>
      <c r="F190" s="92"/>
      <c r="G190" s="92"/>
      <c r="H190" s="92"/>
      <c r="I190" s="92"/>
      <c r="J190" s="93"/>
    </row>
    <row r="191" spans="1:10" x14ac:dyDescent="0.2">
      <c r="A191" s="17">
        <v>1</v>
      </c>
      <c r="B191" s="3" t="s">
        <v>489</v>
      </c>
      <c r="C191" s="4" t="s">
        <v>299</v>
      </c>
      <c r="D191" s="5" t="s">
        <v>488</v>
      </c>
      <c r="E191" s="4">
        <v>9</v>
      </c>
      <c r="F191" s="19">
        <v>8.6999999999999993</v>
      </c>
      <c r="G191" s="8">
        <v>20</v>
      </c>
      <c r="H191" s="19">
        <f>F191*1.2</f>
        <v>10.44</v>
      </c>
      <c r="I191" s="19">
        <f>F191/0.11</f>
        <v>79.090909090909079</v>
      </c>
      <c r="J191" s="19"/>
    </row>
    <row r="192" spans="1:10" x14ac:dyDescent="0.2">
      <c r="A192" s="17">
        <v>2</v>
      </c>
      <c r="B192" s="3" t="s">
        <v>490</v>
      </c>
      <c r="C192" s="4" t="s">
        <v>299</v>
      </c>
      <c r="D192" s="5" t="s">
        <v>488</v>
      </c>
      <c r="E192" s="4">
        <v>9</v>
      </c>
      <c r="F192" s="19">
        <v>10.6</v>
      </c>
      <c r="G192" s="8">
        <v>20</v>
      </c>
      <c r="H192" s="19">
        <f t="shared" ref="H192:H196" si="51">F192*1.2</f>
        <v>12.719999999999999</v>
      </c>
      <c r="I192" s="19">
        <f t="shared" ref="I192:I194" si="52">F192/0.11</f>
        <v>96.36363636363636</v>
      </c>
      <c r="J192" s="19"/>
    </row>
    <row r="193" spans="1:10" x14ac:dyDescent="0.2">
      <c r="A193" s="17">
        <v>3</v>
      </c>
      <c r="B193" s="3" t="s">
        <v>491</v>
      </c>
      <c r="C193" s="4" t="s">
        <v>299</v>
      </c>
      <c r="D193" s="5" t="s">
        <v>488</v>
      </c>
      <c r="E193" s="4">
        <v>9</v>
      </c>
      <c r="F193" s="19">
        <v>8.6999999999999993</v>
      </c>
      <c r="G193" s="8">
        <v>20</v>
      </c>
      <c r="H193" s="19">
        <f t="shared" si="51"/>
        <v>10.44</v>
      </c>
      <c r="I193" s="19">
        <f t="shared" si="52"/>
        <v>79.090909090909079</v>
      </c>
      <c r="J193" s="19"/>
    </row>
    <row r="194" spans="1:10" x14ac:dyDescent="0.2">
      <c r="A194" s="17">
        <v>4</v>
      </c>
      <c r="B194" s="3" t="s">
        <v>492</v>
      </c>
      <c r="C194" s="4" t="s">
        <v>299</v>
      </c>
      <c r="D194" s="5" t="s">
        <v>488</v>
      </c>
      <c r="E194" s="4">
        <v>9</v>
      </c>
      <c r="F194" s="19">
        <v>8.6999999999999993</v>
      </c>
      <c r="G194" s="8">
        <v>20</v>
      </c>
      <c r="H194" s="19">
        <f t="shared" si="51"/>
        <v>10.44</v>
      </c>
      <c r="I194" s="19">
        <f t="shared" si="52"/>
        <v>79.090909090909079</v>
      </c>
      <c r="J194" s="19"/>
    </row>
    <row r="195" spans="1:10" x14ac:dyDescent="0.2">
      <c r="A195" s="17">
        <v>5</v>
      </c>
      <c r="B195" s="1" t="s">
        <v>493</v>
      </c>
      <c r="C195" s="4" t="s">
        <v>299</v>
      </c>
      <c r="D195" s="5" t="s">
        <v>488</v>
      </c>
      <c r="E195" s="4">
        <v>9</v>
      </c>
      <c r="F195" s="19">
        <v>8.5</v>
      </c>
      <c r="G195" s="8">
        <v>20</v>
      </c>
      <c r="H195" s="19">
        <f t="shared" si="51"/>
        <v>10.199999999999999</v>
      </c>
      <c r="I195" s="19">
        <f>F195/0.13</f>
        <v>65.384615384615387</v>
      </c>
      <c r="J195" s="19"/>
    </row>
    <row r="196" spans="1:10" x14ac:dyDescent="0.2">
      <c r="A196" s="17">
        <v>6</v>
      </c>
      <c r="B196" s="1" t="s">
        <v>494</v>
      </c>
      <c r="C196" s="4" t="s">
        <v>299</v>
      </c>
      <c r="D196" s="5" t="s">
        <v>488</v>
      </c>
      <c r="E196" s="4">
        <v>9</v>
      </c>
      <c r="F196" s="19">
        <v>5.5</v>
      </c>
      <c r="G196" s="8">
        <v>20</v>
      </c>
      <c r="H196" s="19">
        <f t="shared" si="51"/>
        <v>6.6</v>
      </c>
      <c r="I196" s="19">
        <f>F196/0.1</f>
        <v>55</v>
      </c>
      <c r="J196" s="19"/>
    </row>
    <row r="197" spans="1:10" ht="15.75" customHeight="1" x14ac:dyDescent="0.2">
      <c r="A197" s="91" t="s">
        <v>7</v>
      </c>
      <c r="B197" s="92"/>
      <c r="C197" s="92"/>
      <c r="D197" s="92"/>
      <c r="E197" s="92"/>
      <c r="F197" s="92"/>
      <c r="G197" s="92"/>
      <c r="H197" s="92"/>
      <c r="I197" s="57"/>
      <c r="J197" s="20"/>
    </row>
    <row r="198" spans="1:10" x14ac:dyDescent="0.2">
      <c r="A198" s="17">
        <v>1</v>
      </c>
      <c r="B198" s="18" t="s">
        <v>438</v>
      </c>
      <c r="C198" s="4" t="s">
        <v>22</v>
      </c>
      <c r="D198" s="4" t="s">
        <v>26</v>
      </c>
      <c r="E198" s="4">
        <v>6</v>
      </c>
      <c r="F198" s="19">
        <v>41.9</v>
      </c>
      <c r="G198" s="8">
        <v>20</v>
      </c>
      <c r="H198" s="41">
        <f t="shared" ref="H198" si="53">F198*G198/100+F198</f>
        <v>50.28</v>
      </c>
      <c r="I198" s="41"/>
      <c r="J198" s="20"/>
    </row>
    <row r="199" spans="1:10" x14ac:dyDescent="0.2">
      <c r="A199" s="17">
        <v>2</v>
      </c>
      <c r="B199" s="18" t="s">
        <v>439</v>
      </c>
      <c r="C199" s="4" t="s">
        <v>16</v>
      </c>
      <c r="D199" s="4" t="s">
        <v>25</v>
      </c>
      <c r="E199" s="4">
        <v>12</v>
      </c>
      <c r="F199" s="19">
        <v>11.82</v>
      </c>
      <c r="G199" s="8">
        <v>20</v>
      </c>
      <c r="H199" s="41">
        <f t="shared" ref="H199" si="54">F199*G199/100+F199</f>
        <v>14.184000000000001</v>
      </c>
      <c r="I199" s="41"/>
      <c r="J199" s="20"/>
    </row>
    <row r="200" spans="1:10" x14ac:dyDescent="0.2">
      <c r="A200" s="17">
        <v>3</v>
      </c>
      <c r="B200" s="18" t="s">
        <v>36</v>
      </c>
      <c r="C200" s="4" t="s">
        <v>16</v>
      </c>
      <c r="D200" s="4" t="s">
        <v>25</v>
      </c>
      <c r="E200" s="4">
        <v>12</v>
      </c>
      <c r="F200" s="19">
        <v>9.5</v>
      </c>
      <c r="G200" s="8">
        <v>20</v>
      </c>
      <c r="H200" s="41">
        <f>F200*G200/100+F200</f>
        <v>11.4</v>
      </c>
      <c r="I200" s="41"/>
      <c r="J200" s="20"/>
    </row>
    <row r="201" spans="1:10" x14ac:dyDescent="0.2">
      <c r="A201" s="17">
        <v>4</v>
      </c>
      <c r="B201" s="18" t="s">
        <v>440</v>
      </c>
      <c r="C201" s="61" t="s">
        <v>345</v>
      </c>
      <c r="D201" s="4" t="s">
        <v>27</v>
      </c>
      <c r="E201" s="4" t="s">
        <v>72</v>
      </c>
      <c r="F201" s="19">
        <v>134</v>
      </c>
      <c r="G201" s="8">
        <v>20</v>
      </c>
      <c r="H201" s="41">
        <f>F201*G201/100+F201</f>
        <v>160.80000000000001</v>
      </c>
      <c r="I201" s="41"/>
      <c r="J201" s="20"/>
    </row>
    <row r="202" spans="1:10" x14ac:dyDescent="0.2">
      <c r="A202" s="17">
        <v>5</v>
      </c>
      <c r="B202" s="18" t="s">
        <v>121</v>
      </c>
      <c r="C202" s="4" t="s">
        <v>60</v>
      </c>
      <c r="D202" s="4" t="s">
        <v>27</v>
      </c>
      <c r="E202" s="4" t="s">
        <v>72</v>
      </c>
      <c r="F202" s="19">
        <v>89.93</v>
      </c>
      <c r="G202" s="8">
        <v>20</v>
      </c>
      <c r="H202" s="41">
        <f>F202*G202/100+F202</f>
        <v>107.91600000000001</v>
      </c>
      <c r="I202" s="41"/>
      <c r="J202" s="20"/>
    </row>
    <row r="203" spans="1:10" x14ac:dyDescent="0.2">
      <c r="A203" s="17">
        <v>6</v>
      </c>
      <c r="B203" s="18" t="s">
        <v>575</v>
      </c>
      <c r="C203" s="4" t="s">
        <v>84</v>
      </c>
      <c r="D203" s="4" t="s">
        <v>27</v>
      </c>
      <c r="E203" s="4" t="s">
        <v>72</v>
      </c>
      <c r="F203" s="19">
        <v>134</v>
      </c>
      <c r="G203" s="8">
        <v>20</v>
      </c>
      <c r="H203" s="41">
        <f>F203*G203/100+F203</f>
        <v>160.80000000000001</v>
      </c>
      <c r="I203" s="41"/>
      <c r="J203" s="20"/>
    </row>
    <row r="204" spans="1:10" x14ac:dyDescent="0.2">
      <c r="A204" s="17">
        <v>7</v>
      </c>
      <c r="B204" s="18" t="s">
        <v>116</v>
      </c>
      <c r="C204" s="4" t="s">
        <v>45</v>
      </c>
      <c r="D204" s="4" t="s">
        <v>105</v>
      </c>
      <c r="E204" s="4">
        <v>12</v>
      </c>
      <c r="F204" s="19">
        <v>4.6500000000000004</v>
      </c>
      <c r="G204" s="8">
        <v>20</v>
      </c>
      <c r="H204" s="41">
        <f t="shared" ref="H204" si="55">F204*G204/100+F204</f>
        <v>5.58</v>
      </c>
      <c r="I204" s="41"/>
      <c r="J204" s="20"/>
    </row>
    <row r="205" spans="1:10" x14ac:dyDescent="0.2">
      <c r="A205" s="17">
        <v>8</v>
      </c>
      <c r="B205" s="18" t="s">
        <v>96</v>
      </c>
      <c r="C205" s="4" t="s">
        <v>45</v>
      </c>
      <c r="D205" s="4" t="s">
        <v>27</v>
      </c>
      <c r="E205" s="4">
        <v>6</v>
      </c>
      <c r="F205" s="19">
        <v>20.7</v>
      </c>
      <c r="G205" s="8">
        <v>20</v>
      </c>
      <c r="H205" s="41">
        <f t="shared" ref="H205" si="56">F205*G205/100+F205</f>
        <v>24.84</v>
      </c>
      <c r="I205" s="41"/>
      <c r="J205" s="20"/>
    </row>
    <row r="206" spans="1:10" x14ac:dyDescent="0.2">
      <c r="A206" s="17">
        <v>9</v>
      </c>
      <c r="B206" s="18" t="s">
        <v>196</v>
      </c>
      <c r="C206" s="4" t="s">
        <v>45</v>
      </c>
      <c r="D206" s="4" t="s">
        <v>149</v>
      </c>
      <c r="E206" s="4">
        <v>6</v>
      </c>
      <c r="F206" s="19">
        <v>20.7</v>
      </c>
      <c r="G206" s="8">
        <v>20</v>
      </c>
      <c r="H206" s="41">
        <f t="shared" ref="H206" si="57">F206*G206/100+F206</f>
        <v>24.84</v>
      </c>
      <c r="I206" s="41"/>
      <c r="J206" s="20"/>
    </row>
    <row r="207" spans="1:10" x14ac:dyDescent="0.2">
      <c r="A207" s="17">
        <v>10</v>
      </c>
      <c r="B207" s="18" t="s">
        <v>150</v>
      </c>
      <c r="C207" s="4" t="s">
        <v>84</v>
      </c>
      <c r="D207" s="4" t="s">
        <v>149</v>
      </c>
      <c r="E207" s="4">
        <v>12</v>
      </c>
      <c r="F207" s="19">
        <v>110.5</v>
      </c>
      <c r="G207" s="8">
        <v>20</v>
      </c>
      <c r="H207" s="41">
        <f t="shared" ref="H207:H209" si="58">F207*G207/100+F207</f>
        <v>132.6</v>
      </c>
      <c r="I207" s="41"/>
      <c r="J207" s="20"/>
    </row>
    <row r="208" spans="1:10" x14ac:dyDescent="0.2">
      <c r="A208" s="17">
        <v>11</v>
      </c>
      <c r="B208" s="18" t="s">
        <v>340</v>
      </c>
      <c r="C208" s="4" t="s">
        <v>45</v>
      </c>
      <c r="D208" s="5" t="s">
        <v>26</v>
      </c>
      <c r="E208" s="4">
        <v>6</v>
      </c>
      <c r="F208" s="19"/>
      <c r="G208" s="8">
        <v>20</v>
      </c>
      <c r="H208" s="19">
        <f t="shared" si="58"/>
        <v>0</v>
      </c>
      <c r="I208" s="19"/>
      <c r="J208" s="19"/>
    </row>
    <row r="209" spans="1:10" x14ac:dyDescent="0.2">
      <c r="A209" s="17">
        <v>12</v>
      </c>
      <c r="B209" s="18" t="s">
        <v>341</v>
      </c>
      <c r="C209" s="4" t="s">
        <v>45</v>
      </c>
      <c r="D209" s="5" t="s">
        <v>26</v>
      </c>
      <c r="E209" s="4">
        <v>6</v>
      </c>
      <c r="F209" s="19">
        <v>25</v>
      </c>
      <c r="G209" s="8">
        <v>20</v>
      </c>
      <c r="H209" s="19">
        <f t="shared" si="58"/>
        <v>30</v>
      </c>
      <c r="I209" s="19"/>
      <c r="J209" s="19"/>
    </row>
    <row r="210" spans="1:10" x14ac:dyDescent="0.2">
      <c r="A210" s="17">
        <v>13</v>
      </c>
      <c r="B210" s="18" t="s">
        <v>342</v>
      </c>
      <c r="C210" s="4" t="s">
        <v>45</v>
      </c>
      <c r="D210" s="5" t="s">
        <v>105</v>
      </c>
      <c r="E210" s="4">
        <v>12</v>
      </c>
      <c r="F210" s="19">
        <v>5</v>
      </c>
      <c r="G210" s="8">
        <v>20</v>
      </c>
      <c r="H210" s="19">
        <f>F210*G210/100+F210</f>
        <v>6</v>
      </c>
      <c r="I210" s="19"/>
      <c r="J210" s="19"/>
    </row>
    <row r="211" spans="1:10" x14ac:dyDescent="0.2">
      <c r="A211" s="17">
        <v>14</v>
      </c>
      <c r="B211" s="18" t="s">
        <v>344</v>
      </c>
      <c r="C211" s="4" t="s">
        <v>45</v>
      </c>
      <c r="D211" s="5" t="s">
        <v>26</v>
      </c>
      <c r="E211" s="4">
        <v>6</v>
      </c>
      <c r="F211" s="19">
        <v>45</v>
      </c>
      <c r="G211" s="8">
        <v>20</v>
      </c>
      <c r="H211" s="19">
        <f t="shared" ref="H211:H213" si="59">F211*G211/100+F211</f>
        <v>54</v>
      </c>
      <c r="I211" s="19"/>
      <c r="J211" s="19"/>
    </row>
    <row r="212" spans="1:10" x14ac:dyDescent="0.2">
      <c r="A212" s="17">
        <v>15</v>
      </c>
      <c r="B212" s="18" t="s">
        <v>343</v>
      </c>
      <c r="C212" s="4" t="s">
        <v>45</v>
      </c>
      <c r="D212" s="5" t="s">
        <v>105</v>
      </c>
      <c r="E212" s="4">
        <v>12</v>
      </c>
      <c r="F212" s="19">
        <v>4.5</v>
      </c>
      <c r="G212" s="8">
        <v>20</v>
      </c>
      <c r="H212" s="19">
        <f t="shared" si="59"/>
        <v>5.4</v>
      </c>
      <c r="I212" s="19"/>
      <c r="J212" s="19"/>
    </row>
    <row r="213" spans="1:10" x14ac:dyDescent="0.2">
      <c r="A213" s="17">
        <v>16</v>
      </c>
      <c r="B213" s="18" t="s">
        <v>441</v>
      </c>
      <c r="C213" s="4" t="s">
        <v>45</v>
      </c>
      <c r="D213" s="5" t="s">
        <v>105</v>
      </c>
      <c r="E213" s="4">
        <v>12</v>
      </c>
      <c r="F213" s="19">
        <v>4.9000000000000004</v>
      </c>
      <c r="G213" s="8">
        <v>20</v>
      </c>
      <c r="H213" s="19">
        <f t="shared" si="59"/>
        <v>5.8800000000000008</v>
      </c>
      <c r="I213" s="19"/>
      <c r="J213" s="19"/>
    </row>
    <row r="214" spans="1:10" ht="15.75" customHeight="1" x14ac:dyDescent="0.2">
      <c r="A214" s="91" t="s">
        <v>33</v>
      </c>
      <c r="B214" s="92"/>
      <c r="C214" s="92"/>
      <c r="D214" s="92"/>
      <c r="E214" s="92"/>
      <c r="F214" s="92"/>
      <c r="G214" s="92"/>
      <c r="H214" s="92"/>
      <c r="I214" s="57"/>
      <c r="J214" s="20"/>
    </row>
    <row r="215" spans="1:10" x14ac:dyDescent="0.2">
      <c r="A215" s="17">
        <v>1</v>
      </c>
      <c r="B215" s="18" t="s">
        <v>146</v>
      </c>
      <c r="C215" s="4" t="s">
        <v>34</v>
      </c>
      <c r="D215" s="4" t="s">
        <v>25</v>
      </c>
      <c r="E215" s="4">
        <v>12</v>
      </c>
      <c r="F215" s="9">
        <v>8.1</v>
      </c>
      <c r="G215" s="10">
        <v>20</v>
      </c>
      <c r="H215" s="41">
        <f t="shared" ref="H215" si="60">F215*G215/100+F215</f>
        <v>9.7199999999999989</v>
      </c>
      <c r="I215" s="41"/>
      <c r="J215" s="20"/>
    </row>
    <row r="216" spans="1:10" x14ac:dyDescent="0.2">
      <c r="A216" s="17">
        <v>2</v>
      </c>
      <c r="B216" s="18" t="s">
        <v>97</v>
      </c>
      <c r="C216" s="4" t="s">
        <v>34</v>
      </c>
      <c r="D216" s="4" t="s">
        <v>25</v>
      </c>
      <c r="E216" s="4">
        <v>12</v>
      </c>
      <c r="F216" s="19">
        <v>3.72</v>
      </c>
      <c r="G216" s="8">
        <v>20</v>
      </c>
      <c r="H216" s="41">
        <f t="shared" ref="H216:H217" si="61">F216*G216/100+F216</f>
        <v>4.4640000000000004</v>
      </c>
      <c r="I216" s="41"/>
      <c r="J216" s="20"/>
    </row>
    <row r="217" spans="1:10" ht="14.25" customHeight="1" x14ac:dyDescent="0.2">
      <c r="A217" s="17">
        <v>3</v>
      </c>
      <c r="B217" s="18" t="s">
        <v>86</v>
      </c>
      <c r="C217" s="4" t="s">
        <v>34</v>
      </c>
      <c r="D217" s="4" t="s">
        <v>25</v>
      </c>
      <c r="E217" s="4">
        <v>6</v>
      </c>
      <c r="F217" s="19">
        <v>19.899999999999999</v>
      </c>
      <c r="G217" s="8">
        <v>20</v>
      </c>
      <c r="H217" s="41">
        <f t="shared" si="61"/>
        <v>23.88</v>
      </c>
      <c r="I217" s="41"/>
      <c r="J217" s="20"/>
    </row>
    <row r="218" spans="1:10" ht="15.75" customHeight="1" x14ac:dyDescent="0.2">
      <c r="A218" s="91" t="s">
        <v>231</v>
      </c>
      <c r="B218" s="92"/>
      <c r="C218" s="92"/>
      <c r="D218" s="92"/>
      <c r="E218" s="92"/>
      <c r="F218" s="92"/>
      <c r="G218" s="92"/>
      <c r="H218" s="92"/>
      <c r="I218" s="57"/>
      <c r="J218" s="20"/>
    </row>
    <row r="219" spans="1:10" x14ac:dyDescent="0.2">
      <c r="A219" s="17">
        <v>1</v>
      </c>
      <c r="B219" s="3" t="s">
        <v>161</v>
      </c>
      <c r="C219" s="4" t="s">
        <v>19</v>
      </c>
      <c r="D219" s="4" t="s">
        <v>26</v>
      </c>
      <c r="E219" s="4">
        <v>1</v>
      </c>
      <c r="F219" s="19">
        <v>23.5</v>
      </c>
      <c r="G219" s="8">
        <v>20</v>
      </c>
      <c r="H219" s="41">
        <f t="shared" ref="H219:H230" si="62">F219*G219/100+F219</f>
        <v>28.2</v>
      </c>
      <c r="I219" s="41"/>
      <c r="J219" s="20"/>
    </row>
    <row r="220" spans="1:10" x14ac:dyDescent="0.2">
      <c r="A220" s="17">
        <v>2</v>
      </c>
      <c r="B220" s="3" t="s">
        <v>180</v>
      </c>
      <c r="C220" s="4" t="s">
        <v>19</v>
      </c>
      <c r="D220" s="4" t="s">
        <v>26</v>
      </c>
      <c r="E220" s="4">
        <v>1</v>
      </c>
      <c r="F220" s="19">
        <v>25.5</v>
      </c>
      <c r="G220" s="8">
        <v>20</v>
      </c>
      <c r="H220" s="41">
        <f t="shared" ref="H220" si="63">F220*G220/100+F220</f>
        <v>30.6</v>
      </c>
      <c r="I220" s="41"/>
      <c r="J220" s="20"/>
    </row>
    <row r="221" spans="1:10" x14ac:dyDescent="0.2">
      <c r="A221" s="17">
        <v>3</v>
      </c>
      <c r="B221" s="18" t="s">
        <v>474</v>
      </c>
      <c r="C221" s="4" t="s">
        <v>19</v>
      </c>
      <c r="D221" s="4" t="s">
        <v>25</v>
      </c>
      <c r="E221" s="4">
        <v>12</v>
      </c>
      <c r="F221" s="19">
        <v>7.5</v>
      </c>
      <c r="G221" s="8">
        <v>20</v>
      </c>
      <c r="H221" s="41">
        <f t="shared" si="62"/>
        <v>9</v>
      </c>
      <c r="I221" s="41"/>
      <c r="J221" s="20"/>
    </row>
    <row r="222" spans="1:10" x14ac:dyDescent="0.2">
      <c r="A222" s="17">
        <v>5</v>
      </c>
      <c r="B222" s="18" t="s">
        <v>442</v>
      </c>
      <c r="C222" s="4" t="s">
        <v>19</v>
      </c>
      <c r="D222" s="4" t="s">
        <v>26</v>
      </c>
      <c r="E222" s="4">
        <v>1</v>
      </c>
      <c r="F222" s="19">
        <v>56</v>
      </c>
      <c r="G222" s="8">
        <v>20</v>
      </c>
      <c r="H222" s="41">
        <f t="shared" si="62"/>
        <v>67.2</v>
      </c>
      <c r="I222" s="41"/>
      <c r="J222" s="20"/>
    </row>
    <row r="223" spans="1:10" x14ac:dyDescent="0.2">
      <c r="A223" s="17">
        <v>6</v>
      </c>
      <c r="B223" s="18" t="s">
        <v>443</v>
      </c>
      <c r="C223" s="4" t="s">
        <v>19</v>
      </c>
      <c r="D223" s="4" t="s">
        <v>26</v>
      </c>
      <c r="E223" s="4">
        <v>1</v>
      </c>
      <c r="F223" s="19">
        <v>56</v>
      </c>
      <c r="G223" s="8">
        <v>20</v>
      </c>
      <c r="H223" s="41">
        <f t="shared" si="62"/>
        <v>67.2</v>
      </c>
      <c r="I223" s="41"/>
      <c r="J223" s="20"/>
    </row>
    <row r="224" spans="1:10" x14ac:dyDescent="0.2">
      <c r="A224" s="17">
        <v>9</v>
      </c>
      <c r="B224" s="1" t="s">
        <v>99</v>
      </c>
      <c r="C224" s="17" t="s">
        <v>20</v>
      </c>
      <c r="D224" s="4" t="s">
        <v>25</v>
      </c>
      <c r="E224" s="17">
        <v>12</v>
      </c>
      <c r="F224" s="19">
        <v>5.8</v>
      </c>
      <c r="G224" s="8">
        <v>20</v>
      </c>
      <c r="H224" s="41">
        <f t="shared" si="62"/>
        <v>6.96</v>
      </c>
      <c r="I224" s="41"/>
      <c r="J224" s="20"/>
    </row>
    <row r="225" spans="1:10" x14ac:dyDescent="0.2">
      <c r="A225" s="17">
        <v>10</v>
      </c>
      <c r="B225" s="1" t="s">
        <v>577</v>
      </c>
      <c r="C225" s="17" t="s">
        <v>15</v>
      </c>
      <c r="D225" s="4" t="s">
        <v>26</v>
      </c>
      <c r="E225" s="17">
        <v>12</v>
      </c>
      <c r="F225" s="19">
        <v>2.6</v>
      </c>
      <c r="G225" s="8">
        <v>20</v>
      </c>
      <c r="H225" s="41">
        <f t="shared" ref="H225" si="64">F225*G225/100+F225</f>
        <v>3.12</v>
      </c>
      <c r="I225" s="41"/>
      <c r="J225" s="20"/>
    </row>
    <row r="226" spans="1:10" x14ac:dyDescent="0.2">
      <c r="A226" s="17">
        <v>11</v>
      </c>
      <c r="B226" s="1" t="s">
        <v>109</v>
      </c>
      <c r="C226" s="17" t="s">
        <v>15</v>
      </c>
      <c r="D226" s="4" t="s">
        <v>26</v>
      </c>
      <c r="E226" s="17">
        <v>12</v>
      </c>
      <c r="F226" s="19">
        <v>2.6</v>
      </c>
      <c r="G226" s="8">
        <v>20</v>
      </c>
      <c r="H226" s="41">
        <f t="shared" ref="H226:H227" si="65">F226*G226/100+F226</f>
        <v>3.12</v>
      </c>
      <c r="I226" s="41"/>
      <c r="J226" s="20"/>
    </row>
    <row r="227" spans="1:10" x14ac:dyDescent="0.2">
      <c r="A227" s="17">
        <v>12</v>
      </c>
      <c r="B227" s="1" t="s">
        <v>110</v>
      </c>
      <c r="C227" s="17" t="s">
        <v>15</v>
      </c>
      <c r="D227" s="4" t="s">
        <v>26</v>
      </c>
      <c r="E227" s="17">
        <v>12</v>
      </c>
      <c r="F227" s="19">
        <v>2.6</v>
      </c>
      <c r="G227" s="8">
        <v>20</v>
      </c>
      <c r="H227" s="41">
        <f t="shared" si="65"/>
        <v>3.12</v>
      </c>
      <c r="I227" s="41"/>
      <c r="J227" s="20"/>
    </row>
    <row r="228" spans="1:10" ht="12.75" customHeight="1" x14ac:dyDescent="0.2">
      <c r="A228" s="17">
        <v>14</v>
      </c>
      <c r="B228" s="1" t="s">
        <v>129</v>
      </c>
      <c r="C228" s="17" t="s">
        <v>83</v>
      </c>
      <c r="D228" s="4" t="s">
        <v>26</v>
      </c>
      <c r="E228" s="17">
        <v>12</v>
      </c>
      <c r="F228" s="19">
        <v>2.96</v>
      </c>
      <c r="G228" s="8">
        <v>20</v>
      </c>
      <c r="H228" s="41">
        <f t="shared" ref="H228" si="66">F228*G228/100+F228</f>
        <v>3.552</v>
      </c>
      <c r="I228" s="41"/>
      <c r="J228" s="20"/>
    </row>
    <row r="229" spans="1:10" x14ac:dyDescent="0.2">
      <c r="A229" s="17">
        <v>15</v>
      </c>
      <c r="B229" s="1" t="s">
        <v>100</v>
      </c>
      <c r="C229" s="17" t="s">
        <v>83</v>
      </c>
      <c r="D229" s="4" t="s">
        <v>26</v>
      </c>
      <c r="E229" s="4">
        <v>12</v>
      </c>
      <c r="F229" s="19">
        <v>3.3</v>
      </c>
      <c r="G229" s="8">
        <v>20</v>
      </c>
      <c r="H229" s="41">
        <f t="shared" si="62"/>
        <v>3.96</v>
      </c>
      <c r="I229" s="41"/>
      <c r="J229" s="20"/>
    </row>
    <row r="230" spans="1:10" x14ac:dyDescent="0.2">
      <c r="A230" s="17">
        <v>16</v>
      </c>
      <c r="B230" s="1" t="s">
        <v>576</v>
      </c>
      <c r="C230" s="17" t="s">
        <v>19</v>
      </c>
      <c r="D230" s="4" t="s">
        <v>26</v>
      </c>
      <c r="E230" s="4">
        <v>1</v>
      </c>
      <c r="F230" s="19">
        <v>23.5</v>
      </c>
      <c r="G230" s="8">
        <v>20</v>
      </c>
      <c r="H230" s="41">
        <f t="shared" si="62"/>
        <v>28.2</v>
      </c>
      <c r="I230" s="41"/>
      <c r="J230" s="20"/>
    </row>
    <row r="231" spans="1:10" ht="15.75" customHeight="1" x14ac:dyDescent="0.2">
      <c r="A231" s="91" t="s">
        <v>5</v>
      </c>
      <c r="B231" s="92"/>
      <c r="C231" s="92"/>
      <c r="D231" s="92"/>
      <c r="E231" s="92"/>
      <c r="F231" s="92"/>
      <c r="G231" s="92"/>
      <c r="H231" s="92"/>
      <c r="I231" s="57"/>
      <c r="J231" s="20"/>
    </row>
    <row r="232" spans="1:10" x14ac:dyDescent="0.2">
      <c r="A232" s="17">
        <v>1</v>
      </c>
      <c r="B232" s="18" t="s">
        <v>392</v>
      </c>
      <c r="C232" s="4" t="s">
        <v>45</v>
      </c>
      <c r="D232" s="4" t="s">
        <v>26</v>
      </c>
      <c r="E232" s="4">
        <v>6</v>
      </c>
      <c r="F232" s="19">
        <v>32.450000000000003</v>
      </c>
      <c r="G232" s="8">
        <v>20</v>
      </c>
      <c r="H232" s="41">
        <f t="shared" ref="H232:H249" si="67">F232*G232/100+F232</f>
        <v>38.940000000000005</v>
      </c>
      <c r="I232" s="41"/>
      <c r="J232" s="20"/>
    </row>
    <row r="233" spans="1:10" x14ac:dyDescent="0.2">
      <c r="A233" s="17">
        <v>2</v>
      </c>
      <c r="B233" s="18" t="s">
        <v>620</v>
      </c>
      <c r="C233" s="4" t="s">
        <v>45</v>
      </c>
      <c r="D233" s="4" t="s">
        <v>26</v>
      </c>
      <c r="E233" s="4">
        <v>6</v>
      </c>
      <c r="F233" s="19">
        <v>29.6</v>
      </c>
      <c r="G233" s="8">
        <v>20</v>
      </c>
      <c r="H233" s="41">
        <f t="shared" si="67"/>
        <v>35.520000000000003</v>
      </c>
      <c r="I233" s="41"/>
      <c r="J233" s="20"/>
    </row>
    <row r="234" spans="1:10" x14ac:dyDescent="0.2">
      <c r="A234" s="17">
        <v>3</v>
      </c>
      <c r="B234" s="18" t="s">
        <v>114</v>
      </c>
      <c r="C234" s="4" t="s">
        <v>45</v>
      </c>
      <c r="D234" s="4" t="s">
        <v>26</v>
      </c>
      <c r="E234" s="4">
        <v>6</v>
      </c>
      <c r="F234" s="19">
        <v>33.6</v>
      </c>
      <c r="G234" s="8">
        <v>20</v>
      </c>
      <c r="H234" s="41">
        <f t="shared" ref="H234" si="68">F234*G234/100+F234</f>
        <v>40.32</v>
      </c>
      <c r="I234" s="41"/>
      <c r="J234" s="20"/>
    </row>
    <row r="235" spans="1:10" x14ac:dyDescent="0.2">
      <c r="A235" s="17">
        <v>4</v>
      </c>
      <c r="B235" s="18" t="s">
        <v>195</v>
      </c>
      <c r="C235" s="4" t="s">
        <v>45</v>
      </c>
      <c r="D235" s="4" t="s">
        <v>149</v>
      </c>
      <c r="E235" s="4">
        <v>6</v>
      </c>
      <c r="F235" s="19">
        <v>32.299999999999997</v>
      </c>
      <c r="G235" s="8">
        <v>20</v>
      </c>
      <c r="H235" s="41">
        <f t="shared" ref="H235:H236" si="69">F235*G235/100+F235</f>
        <v>38.76</v>
      </c>
      <c r="I235" s="41"/>
      <c r="J235" s="20"/>
    </row>
    <row r="236" spans="1:10" x14ac:dyDescent="0.2">
      <c r="A236" s="17">
        <v>6</v>
      </c>
      <c r="B236" s="18" t="s">
        <v>391</v>
      </c>
      <c r="C236" s="4" t="s">
        <v>45</v>
      </c>
      <c r="D236" s="5" t="s">
        <v>26</v>
      </c>
      <c r="E236" s="4">
        <v>6</v>
      </c>
      <c r="F236" s="19">
        <v>32.450000000000003</v>
      </c>
      <c r="G236" s="8">
        <v>20</v>
      </c>
      <c r="H236" s="19">
        <f t="shared" si="69"/>
        <v>38.940000000000005</v>
      </c>
      <c r="I236" s="19"/>
      <c r="J236" s="19"/>
    </row>
    <row r="237" spans="1:10" ht="12.75" customHeight="1" x14ac:dyDescent="0.2">
      <c r="A237" s="17">
        <v>7</v>
      </c>
      <c r="B237" s="18" t="s">
        <v>619</v>
      </c>
      <c r="C237" s="4" t="s">
        <v>45</v>
      </c>
      <c r="D237" s="4" t="s">
        <v>26</v>
      </c>
      <c r="E237" s="4">
        <v>6</v>
      </c>
      <c r="F237" s="19">
        <v>29.6</v>
      </c>
      <c r="G237" s="8">
        <v>20</v>
      </c>
      <c r="H237" s="41">
        <f t="shared" ref="H237" si="70">F237*G237/100+F237</f>
        <v>35.520000000000003</v>
      </c>
      <c r="I237" s="41"/>
      <c r="J237" s="20"/>
    </row>
    <row r="238" spans="1:10" ht="12.75" customHeight="1" x14ac:dyDescent="0.2">
      <c r="A238" s="17">
        <v>8</v>
      </c>
      <c r="B238" s="18" t="s">
        <v>193</v>
      </c>
      <c r="C238" s="4" t="s">
        <v>45</v>
      </c>
      <c r="D238" s="4" t="s">
        <v>25</v>
      </c>
      <c r="E238" s="4">
        <v>12</v>
      </c>
      <c r="F238" s="19">
        <v>5.95</v>
      </c>
      <c r="G238" s="8">
        <v>20</v>
      </c>
      <c r="H238" s="41">
        <f t="shared" ref="H238:H239" si="71">F238*G238/100+F238</f>
        <v>7.1400000000000006</v>
      </c>
      <c r="I238" s="41"/>
      <c r="J238" s="20"/>
    </row>
    <row r="239" spans="1:10" ht="12.75" customHeight="1" x14ac:dyDescent="0.2">
      <c r="A239" s="17">
        <v>9</v>
      </c>
      <c r="B239" s="18" t="s">
        <v>194</v>
      </c>
      <c r="C239" s="4" t="s">
        <v>45</v>
      </c>
      <c r="D239" s="4" t="s">
        <v>25</v>
      </c>
      <c r="E239" s="4">
        <v>12</v>
      </c>
      <c r="F239" s="19">
        <v>5.95</v>
      </c>
      <c r="G239" s="8">
        <v>20</v>
      </c>
      <c r="H239" s="41">
        <f t="shared" si="71"/>
        <v>7.1400000000000006</v>
      </c>
      <c r="I239" s="41"/>
      <c r="J239" s="20"/>
    </row>
    <row r="240" spans="1:10" x14ac:dyDescent="0.2">
      <c r="A240" s="17">
        <v>10</v>
      </c>
      <c r="B240" s="1" t="s">
        <v>66</v>
      </c>
      <c r="C240" s="17" t="s">
        <v>16</v>
      </c>
      <c r="D240" s="17" t="s">
        <v>149</v>
      </c>
      <c r="E240" s="17">
        <v>4</v>
      </c>
      <c r="F240" s="19">
        <v>67.7</v>
      </c>
      <c r="G240" s="8">
        <v>20</v>
      </c>
      <c r="H240" s="41">
        <f t="shared" si="67"/>
        <v>81.240000000000009</v>
      </c>
      <c r="I240" s="41"/>
      <c r="J240" s="20"/>
    </row>
    <row r="241" spans="1:10" x14ac:dyDescent="0.2">
      <c r="A241" s="17">
        <v>11</v>
      </c>
      <c r="B241" s="1" t="s">
        <v>77</v>
      </c>
      <c r="C241" s="4" t="s">
        <v>18</v>
      </c>
      <c r="D241" s="4" t="s">
        <v>26</v>
      </c>
      <c r="E241" s="17">
        <v>3</v>
      </c>
      <c r="F241" s="19">
        <v>99.5</v>
      </c>
      <c r="G241" s="8">
        <v>20</v>
      </c>
      <c r="H241" s="41">
        <f t="shared" si="67"/>
        <v>119.4</v>
      </c>
      <c r="I241" s="41"/>
      <c r="J241" s="20"/>
    </row>
    <row r="242" spans="1:10" x14ac:dyDescent="0.2">
      <c r="A242" s="17">
        <v>12</v>
      </c>
      <c r="B242" s="18" t="s">
        <v>61</v>
      </c>
      <c r="C242" s="4" t="s">
        <v>18</v>
      </c>
      <c r="D242" s="4" t="s">
        <v>26</v>
      </c>
      <c r="E242" s="17">
        <v>3</v>
      </c>
      <c r="F242" s="19">
        <v>99.5</v>
      </c>
      <c r="G242" s="8">
        <v>20</v>
      </c>
      <c r="H242" s="41">
        <f t="shared" si="67"/>
        <v>119.4</v>
      </c>
      <c r="I242" s="41"/>
      <c r="J242" s="20"/>
    </row>
    <row r="243" spans="1:10" x14ac:dyDescent="0.2">
      <c r="A243" s="17">
        <v>13</v>
      </c>
      <c r="B243" s="18" t="s">
        <v>92</v>
      </c>
      <c r="C243" s="4" t="s">
        <v>18</v>
      </c>
      <c r="D243" s="4" t="s">
        <v>26</v>
      </c>
      <c r="E243" s="17">
        <v>3</v>
      </c>
      <c r="F243" s="19">
        <v>157</v>
      </c>
      <c r="G243" s="8">
        <v>20</v>
      </c>
      <c r="H243" s="41">
        <f t="shared" ref="H243" si="72">F243*G243/100+F243</f>
        <v>188.4</v>
      </c>
      <c r="I243" s="41"/>
      <c r="J243" s="20"/>
    </row>
    <row r="244" spans="1:10" x14ac:dyDescent="0.2">
      <c r="A244" s="17">
        <v>14</v>
      </c>
      <c r="B244" s="18" t="s">
        <v>67</v>
      </c>
      <c r="C244" s="4" t="s">
        <v>16</v>
      </c>
      <c r="D244" s="4" t="s">
        <v>25</v>
      </c>
      <c r="E244" s="4">
        <v>12</v>
      </c>
      <c r="F244" s="19">
        <v>8.64</v>
      </c>
      <c r="G244" s="8">
        <v>20</v>
      </c>
      <c r="H244" s="41">
        <f t="shared" si="67"/>
        <v>10.368</v>
      </c>
      <c r="I244" s="41"/>
      <c r="J244" s="20"/>
    </row>
    <row r="245" spans="1:10" x14ac:dyDescent="0.2">
      <c r="A245" s="17">
        <v>15</v>
      </c>
      <c r="B245" s="18" t="s">
        <v>192</v>
      </c>
      <c r="C245" s="4" t="s">
        <v>16</v>
      </c>
      <c r="D245" s="4" t="s">
        <v>25</v>
      </c>
      <c r="E245" s="4">
        <v>12</v>
      </c>
      <c r="F245" s="19">
        <v>10.49</v>
      </c>
      <c r="G245" s="8">
        <v>20</v>
      </c>
      <c r="H245" s="41">
        <f t="shared" si="67"/>
        <v>12.588000000000001</v>
      </c>
      <c r="I245" s="41"/>
      <c r="J245" s="20"/>
    </row>
    <row r="246" spans="1:10" x14ac:dyDescent="0.2">
      <c r="A246" s="17">
        <v>16</v>
      </c>
      <c r="B246" s="18" t="s">
        <v>144</v>
      </c>
      <c r="C246" s="4" t="s">
        <v>84</v>
      </c>
      <c r="D246" s="4" t="s">
        <v>434</v>
      </c>
      <c r="E246" s="4">
        <v>4</v>
      </c>
      <c r="F246" s="19">
        <v>109</v>
      </c>
      <c r="G246" s="8">
        <v>20</v>
      </c>
      <c r="H246" s="41">
        <f t="shared" ref="H246" si="73">F246*G246/100+F246</f>
        <v>130.80000000000001</v>
      </c>
      <c r="I246" s="41"/>
      <c r="J246" s="20"/>
    </row>
    <row r="247" spans="1:10" x14ac:dyDescent="0.2">
      <c r="A247" s="17">
        <v>17</v>
      </c>
      <c r="B247" s="18" t="s">
        <v>37</v>
      </c>
      <c r="C247" s="4" t="s">
        <v>16</v>
      </c>
      <c r="D247" s="4" t="s">
        <v>25</v>
      </c>
      <c r="E247" s="4">
        <v>12</v>
      </c>
      <c r="F247" s="19">
        <v>14</v>
      </c>
      <c r="G247" s="8">
        <v>20</v>
      </c>
      <c r="H247" s="41">
        <f t="shared" si="67"/>
        <v>16.8</v>
      </c>
      <c r="I247" s="41"/>
      <c r="J247" s="20"/>
    </row>
    <row r="248" spans="1:10" x14ac:dyDescent="0.2">
      <c r="A248" s="17">
        <v>18</v>
      </c>
      <c r="B248" s="18" t="s">
        <v>38</v>
      </c>
      <c r="C248" s="4" t="s">
        <v>16</v>
      </c>
      <c r="D248" s="4" t="s">
        <v>25</v>
      </c>
      <c r="E248" s="4">
        <v>12</v>
      </c>
      <c r="F248" s="19">
        <v>13.51</v>
      </c>
      <c r="G248" s="8">
        <v>20</v>
      </c>
      <c r="H248" s="41">
        <f t="shared" si="67"/>
        <v>16.212</v>
      </c>
      <c r="I248" s="41"/>
      <c r="J248" s="20"/>
    </row>
    <row r="249" spans="1:10" x14ac:dyDescent="0.2">
      <c r="A249" s="17">
        <v>19</v>
      </c>
      <c r="B249" s="18" t="s">
        <v>113</v>
      </c>
      <c r="C249" s="4" t="s">
        <v>16</v>
      </c>
      <c r="D249" s="4" t="s">
        <v>25</v>
      </c>
      <c r="E249" s="4">
        <v>6</v>
      </c>
      <c r="F249" s="19">
        <v>27.5</v>
      </c>
      <c r="G249" s="8">
        <v>20</v>
      </c>
      <c r="H249" s="41">
        <f t="shared" si="67"/>
        <v>33</v>
      </c>
      <c r="I249" s="41"/>
      <c r="J249" s="20"/>
    </row>
    <row r="250" spans="1:10" x14ac:dyDescent="0.2">
      <c r="A250" s="17">
        <v>20</v>
      </c>
      <c r="B250" s="18" t="s">
        <v>578</v>
      </c>
      <c r="C250" s="4" t="s">
        <v>16</v>
      </c>
      <c r="D250" s="4" t="s">
        <v>26</v>
      </c>
      <c r="E250" s="4">
        <v>12</v>
      </c>
      <c r="F250" s="19">
        <v>115</v>
      </c>
      <c r="G250" s="8">
        <v>20</v>
      </c>
      <c r="H250" s="41">
        <f t="shared" ref="H250" si="74">F250*G250/100+F250</f>
        <v>138</v>
      </c>
      <c r="I250" s="41"/>
      <c r="J250" s="20"/>
    </row>
    <row r="251" spans="1:10" x14ac:dyDescent="0.2">
      <c r="A251" s="17">
        <v>21</v>
      </c>
      <c r="B251" s="18" t="s">
        <v>140</v>
      </c>
      <c r="C251" s="4" t="s">
        <v>84</v>
      </c>
      <c r="D251" s="4" t="s">
        <v>26</v>
      </c>
      <c r="E251" s="4">
        <v>3</v>
      </c>
      <c r="F251" s="19">
        <v>94</v>
      </c>
      <c r="G251" s="8">
        <v>20</v>
      </c>
      <c r="H251" s="41">
        <f t="shared" ref="H251" si="75">F251*G251/100+F251</f>
        <v>112.8</v>
      </c>
      <c r="I251" s="41"/>
      <c r="J251" s="20"/>
    </row>
    <row r="252" spans="1:10" x14ac:dyDescent="0.2">
      <c r="A252" s="17">
        <v>22</v>
      </c>
      <c r="B252" s="18" t="s">
        <v>189</v>
      </c>
      <c r="C252" s="4" t="s">
        <v>84</v>
      </c>
      <c r="D252" s="4" t="s">
        <v>26</v>
      </c>
      <c r="E252" s="4">
        <v>3</v>
      </c>
      <c r="F252" s="19">
        <v>83</v>
      </c>
      <c r="G252" s="8">
        <v>20</v>
      </c>
      <c r="H252" s="41">
        <f t="shared" ref="H252" si="76">F252*G252/100+F252</f>
        <v>99.6</v>
      </c>
      <c r="I252" s="41"/>
      <c r="J252" s="20"/>
    </row>
    <row r="253" spans="1:10" x14ac:dyDescent="0.2">
      <c r="A253" s="17">
        <v>23</v>
      </c>
      <c r="B253" s="18" t="s">
        <v>147</v>
      </c>
      <c r="C253" s="4" t="s">
        <v>84</v>
      </c>
      <c r="D253" s="4" t="s">
        <v>26</v>
      </c>
      <c r="E253" s="4">
        <v>4</v>
      </c>
      <c r="F253" s="19">
        <v>100</v>
      </c>
      <c r="G253" s="8">
        <v>20</v>
      </c>
      <c r="H253" s="41">
        <f t="shared" ref="H253" si="77">F253*G253/100+F253</f>
        <v>120</v>
      </c>
      <c r="I253" s="41"/>
      <c r="J253" s="20"/>
    </row>
    <row r="254" spans="1:10" x14ac:dyDescent="0.2">
      <c r="A254" s="17">
        <v>24</v>
      </c>
      <c r="B254" s="18" t="s">
        <v>148</v>
      </c>
      <c r="C254" s="4" t="s">
        <v>84</v>
      </c>
      <c r="D254" s="4" t="s">
        <v>149</v>
      </c>
      <c r="E254" s="4">
        <v>4</v>
      </c>
      <c r="F254" s="19">
        <v>131</v>
      </c>
      <c r="G254" s="8">
        <v>20</v>
      </c>
      <c r="H254" s="41">
        <f t="shared" ref="H254" si="78">F254*G254/100+F254</f>
        <v>157.19999999999999</v>
      </c>
      <c r="I254" s="41"/>
      <c r="J254" s="20"/>
    </row>
    <row r="255" spans="1:10" x14ac:dyDescent="0.2">
      <c r="A255" s="17">
        <v>25</v>
      </c>
      <c r="B255" s="36" t="s">
        <v>444</v>
      </c>
      <c r="C255" s="4" t="s">
        <v>16</v>
      </c>
      <c r="D255" s="4" t="s">
        <v>25</v>
      </c>
      <c r="E255" s="4">
        <v>12</v>
      </c>
      <c r="F255" s="19">
        <v>20.89</v>
      </c>
      <c r="G255" s="8">
        <v>20</v>
      </c>
      <c r="H255" s="41">
        <f t="shared" ref="H255" si="79">F255*G255/100+F255</f>
        <v>25.068000000000001</v>
      </c>
      <c r="I255" s="41"/>
      <c r="J255" s="20"/>
    </row>
    <row r="256" spans="1:10" x14ac:dyDescent="0.2">
      <c r="A256" s="17">
        <v>26</v>
      </c>
      <c r="B256" s="36" t="s">
        <v>459</v>
      </c>
      <c r="C256" s="4" t="s">
        <v>16</v>
      </c>
      <c r="D256" s="4" t="s">
        <v>25</v>
      </c>
      <c r="E256" s="4">
        <v>12</v>
      </c>
      <c r="F256" s="19">
        <v>13.9</v>
      </c>
      <c r="G256" s="8">
        <v>20</v>
      </c>
      <c r="H256" s="41">
        <f t="shared" ref="H256" si="80">F256*G256/100+F256</f>
        <v>16.68</v>
      </c>
      <c r="I256" s="41"/>
      <c r="J256" s="64" t="s">
        <v>460</v>
      </c>
    </row>
    <row r="257" spans="1:10" ht="15.75" customHeight="1" x14ac:dyDescent="0.2">
      <c r="A257" s="91" t="s">
        <v>8</v>
      </c>
      <c r="B257" s="92"/>
      <c r="C257" s="92"/>
      <c r="D257" s="92"/>
      <c r="E257" s="92"/>
      <c r="F257" s="92"/>
      <c r="G257" s="92"/>
      <c r="H257" s="92"/>
      <c r="I257" s="57"/>
      <c r="J257" s="20"/>
    </row>
    <row r="258" spans="1:10" x14ac:dyDescent="0.2">
      <c r="A258" s="17">
        <v>1</v>
      </c>
      <c r="B258" s="18" t="s">
        <v>10</v>
      </c>
      <c r="C258" s="4" t="s">
        <v>19</v>
      </c>
      <c r="D258" s="4" t="s">
        <v>26</v>
      </c>
      <c r="E258" s="4">
        <v>1</v>
      </c>
      <c r="F258" s="19">
        <v>52.4</v>
      </c>
      <c r="G258" s="8">
        <v>20</v>
      </c>
      <c r="H258" s="41">
        <f t="shared" ref="H258:H265" si="81">F258*G258/100+F258</f>
        <v>62.879999999999995</v>
      </c>
      <c r="I258" s="41"/>
      <c r="J258" s="20"/>
    </row>
    <row r="259" spans="1:10" x14ac:dyDescent="0.2">
      <c r="A259" s="17">
        <f>A258+1</f>
        <v>2</v>
      </c>
      <c r="B259" s="18" t="s">
        <v>11</v>
      </c>
      <c r="C259" s="4" t="s">
        <v>19</v>
      </c>
      <c r="D259" s="4" t="s">
        <v>26</v>
      </c>
      <c r="E259" s="4">
        <v>1</v>
      </c>
      <c r="F259" s="19">
        <v>57.6</v>
      </c>
      <c r="G259" s="8">
        <v>20</v>
      </c>
      <c r="H259" s="41">
        <f t="shared" si="81"/>
        <v>69.12</v>
      </c>
      <c r="I259" s="41"/>
      <c r="J259" s="20"/>
    </row>
    <row r="260" spans="1:10" x14ac:dyDescent="0.2">
      <c r="A260" s="17">
        <v>2</v>
      </c>
      <c r="B260" s="18" t="s">
        <v>160</v>
      </c>
      <c r="C260" s="4" t="s">
        <v>19</v>
      </c>
      <c r="D260" s="4" t="s">
        <v>26</v>
      </c>
      <c r="E260" s="4">
        <v>1</v>
      </c>
      <c r="F260" s="19">
        <v>61.6</v>
      </c>
      <c r="G260" s="8">
        <v>20</v>
      </c>
      <c r="H260" s="41">
        <f t="shared" ref="H260" si="82">F260*G260/100+F260</f>
        <v>73.92</v>
      </c>
      <c r="I260" s="41"/>
      <c r="J260" s="20"/>
    </row>
    <row r="261" spans="1:10" x14ac:dyDescent="0.2">
      <c r="A261" s="17">
        <f t="shared" ref="A261" si="83">A260+1</f>
        <v>3</v>
      </c>
      <c r="B261" s="18" t="s">
        <v>12</v>
      </c>
      <c r="C261" s="4" t="s">
        <v>19</v>
      </c>
      <c r="D261" s="4" t="s">
        <v>25</v>
      </c>
      <c r="E261" s="4">
        <v>12</v>
      </c>
      <c r="F261" s="19">
        <v>7.9</v>
      </c>
      <c r="G261" s="8">
        <v>20</v>
      </c>
      <c r="H261" s="41">
        <f t="shared" si="81"/>
        <v>9.48</v>
      </c>
      <c r="I261" s="41"/>
      <c r="J261" s="20"/>
    </row>
    <row r="262" spans="1:10" x14ac:dyDescent="0.2">
      <c r="A262" s="17">
        <v>3</v>
      </c>
      <c r="B262" s="18" t="s">
        <v>13</v>
      </c>
      <c r="C262" s="4" t="s">
        <v>19</v>
      </c>
      <c r="D262" s="4" t="s">
        <v>26</v>
      </c>
      <c r="E262" s="4">
        <v>12</v>
      </c>
      <c r="F262" s="19">
        <v>76.7</v>
      </c>
      <c r="G262" s="8">
        <v>20</v>
      </c>
      <c r="H262" s="41">
        <f t="shared" si="81"/>
        <v>92.04</v>
      </c>
      <c r="I262" s="41"/>
      <c r="J262" s="20"/>
    </row>
    <row r="263" spans="1:10" x14ac:dyDescent="0.2">
      <c r="A263" s="17">
        <f t="shared" ref="A263" si="84">A262+1</f>
        <v>4</v>
      </c>
      <c r="B263" s="18" t="s">
        <v>339</v>
      </c>
      <c r="C263" s="4" t="s">
        <v>154</v>
      </c>
      <c r="D263" s="4" t="s">
        <v>25</v>
      </c>
      <c r="E263" s="4">
        <v>12</v>
      </c>
      <c r="F263" s="19">
        <v>6.3</v>
      </c>
      <c r="G263" s="8">
        <v>20</v>
      </c>
      <c r="H263" s="41">
        <f t="shared" si="81"/>
        <v>7.56</v>
      </c>
      <c r="I263" s="41"/>
      <c r="J263" s="20"/>
    </row>
    <row r="264" spans="1:10" x14ac:dyDescent="0.2">
      <c r="A264" s="17">
        <v>4</v>
      </c>
      <c r="B264" s="18" t="s">
        <v>613</v>
      </c>
      <c r="C264" s="4" t="s">
        <v>154</v>
      </c>
      <c r="D264" s="4" t="s">
        <v>25</v>
      </c>
      <c r="E264" s="4">
        <v>12</v>
      </c>
      <c r="F264" s="19">
        <v>6.3</v>
      </c>
      <c r="G264" s="8">
        <v>20</v>
      </c>
      <c r="H264" s="41">
        <f t="shared" ref="H264" si="85">F264*G264/100+F264</f>
        <v>7.56</v>
      </c>
      <c r="I264" s="41"/>
      <c r="J264" s="20"/>
    </row>
    <row r="265" spans="1:10" x14ac:dyDescent="0.2">
      <c r="A265" s="17">
        <f t="shared" ref="A265" si="86">A264+1</f>
        <v>5</v>
      </c>
      <c r="B265" s="18" t="s">
        <v>14</v>
      </c>
      <c r="C265" s="4" t="s">
        <v>19</v>
      </c>
      <c r="D265" s="4" t="s">
        <v>26</v>
      </c>
      <c r="E265" s="4">
        <v>1</v>
      </c>
      <c r="F265" s="19">
        <v>52</v>
      </c>
      <c r="G265" s="8">
        <v>20</v>
      </c>
      <c r="H265" s="41">
        <f t="shared" si="81"/>
        <v>62.4</v>
      </c>
      <c r="I265" s="41"/>
      <c r="J265" s="20"/>
    </row>
    <row r="266" spans="1:10" ht="15.75" customHeight="1" x14ac:dyDescent="0.2">
      <c r="A266" s="91" t="s">
        <v>198</v>
      </c>
      <c r="B266" s="92"/>
      <c r="C266" s="92"/>
      <c r="D266" s="92"/>
      <c r="E266" s="92"/>
      <c r="F266" s="92"/>
      <c r="G266" s="92"/>
      <c r="H266" s="92"/>
      <c r="I266" s="57"/>
      <c r="J266" s="20"/>
    </row>
    <row r="267" spans="1:10" x14ac:dyDescent="0.2">
      <c r="A267" s="4">
        <v>1</v>
      </c>
      <c r="B267" s="3" t="s">
        <v>81</v>
      </c>
      <c r="C267" s="61" t="s">
        <v>79</v>
      </c>
      <c r="D267" s="4" t="s">
        <v>431</v>
      </c>
      <c r="E267" s="4">
        <v>5</v>
      </c>
      <c r="F267" s="11">
        <v>26.5</v>
      </c>
      <c r="G267" s="8">
        <v>20</v>
      </c>
      <c r="H267" s="41">
        <f t="shared" ref="H267" si="87">F267*G267/100+F267</f>
        <v>31.8</v>
      </c>
      <c r="I267" s="41"/>
      <c r="J267" s="20"/>
    </row>
    <row r="268" spans="1:10" x14ac:dyDescent="0.2">
      <c r="A268" s="4">
        <v>2</v>
      </c>
      <c r="B268" s="3" t="s">
        <v>185</v>
      </c>
      <c r="C268" s="61" t="s">
        <v>79</v>
      </c>
      <c r="D268" s="4" t="s">
        <v>431</v>
      </c>
      <c r="E268" s="4">
        <v>5</v>
      </c>
      <c r="F268" s="11">
        <v>23.3</v>
      </c>
      <c r="G268" s="8">
        <v>20</v>
      </c>
      <c r="H268" s="41">
        <f t="shared" ref="H268" si="88">F268*G268/100+F268</f>
        <v>27.96</v>
      </c>
      <c r="I268" s="41"/>
      <c r="J268" s="20"/>
    </row>
    <row r="269" spans="1:10" x14ac:dyDescent="0.2">
      <c r="A269" s="4">
        <v>3</v>
      </c>
      <c r="B269" s="3" t="s">
        <v>142</v>
      </c>
      <c r="C269" s="4" t="s">
        <v>84</v>
      </c>
      <c r="D269" s="4" t="s">
        <v>149</v>
      </c>
      <c r="E269" s="4">
        <v>30</v>
      </c>
      <c r="F269" s="11">
        <v>4</v>
      </c>
      <c r="G269" s="8">
        <v>20</v>
      </c>
      <c r="H269" s="41">
        <f t="shared" ref="H269" si="89">F269*G269/100+F269</f>
        <v>4.8</v>
      </c>
      <c r="I269" s="41"/>
      <c r="J269" s="20"/>
    </row>
    <row r="270" spans="1:10" x14ac:dyDescent="0.2">
      <c r="A270" s="4">
        <v>4</v>
      </c>
      <c r="B270" s="3" t="s">
        <v>187</v>
      </c>
      <c r="C270" s="4" t="s">
        <v>84</v>
      </c>
      <c r="D270" s="4" t="s">
        <v>149</v>
      </c>
      <c r="E270" s="4">
        <v>4</v>
      </c>
      <c r="F270" s="11">
        <v>34</v>
      </c>
      <c r="G270" s="8">
        <v>20</v>
      </c>
      <c r="H270" s="41">
        <f t="shared" ref="H270" si="90">F270*G270/100+F270</f>
        <v>40.799999999999997</v>
      </c>
      <c r="I270" s="41"/>
      <c r="J270" s="20"/>
    </row>
    <row r="271" spans="1:10" x14ac:dyDescent="0.2">
      <c r="A271" s="4">
        <v>5</v>
      </c>
      <c r="B271" s="3" t="s">
        <v>143</v>
      </c>
      <c r="C271" s="4" t="s">
        <v>84</v>
      </c>
      <c r="D271" s="4" t="s">
        <v>149</v>
      </c>
      <c r="E271" s="4">
        <v>30</v>
      </c>
      <c r="F271" s="11">
        <v>4.5</v>
      </c>
      <c r="G271" s="8">
        <v>20</v>
      </c>
      <c r="H271" s="41">
        <f t="shared" ref="H271" si="91">F271*G271/100+F271</f>
        <v>5.4</v>
      </c>
      <c r="I271" s="41"/>
      <c r="J271" s="20"/>
    </row>
    <row r="272" spans="1:10" x14ac:dyDescent="0.2">
      <c r="A272" s="4">
        <v>6</v>
      </c>
      <c r="B272" s="3" t="s">
        <v>393</v>
      </c>
      <c r="C272" s="4" t="s">
        <v>84</v>
      </c>
      <c r="D272" s="4" t="s">
        <v>149</v>
      </c>
      <c r="E272" s="4">
        <v>30</v>
      </c>
      <c r="F272" s="11">
        <v>5.4</v>
      </c>
      <c r="G272" s="8">
        <v>20</v>
      </c>
      <c r="H272" s="41">
        <f t="shared" ref="H272" si="92">F272*G272/100+F272</f>
        <v>6.48</v>
      </c>
      <c r="I272" s="41"/>
      <c r="J272" s="20"/>
    </row>
    <row r="273" spans="1:10" ht="12" customHeight="1" x14ac:dyDescent="0.2">
      <c r="A273" s="4">
        <v>7</v>
      </c>
      <c r="B273" s="3" t="s">
        <v>74</v>
      </c>
      <c r="C273" s="4" t="s">
        <v>16</v>
      </c>
      <c r="D273" s="4" t="s">
        <v>25</v>
      </c>
      <c r="E273" s="4">
        <v>6</v>
      </c>
      <c r="F273" s="11">
        <v>9.57</v>
      </c>
      <c r="G273" s="8">
        <v>20</v>
      </c>
      <c r="H273" s="41">
        <f t="shared" ref="H273:H292" si="93">F273*G273/100+F273</f>
        <v>11.484</v>
      </c>
      <c r="I273" s="41"/>
      <c r="J273" s="20"/>
    </row>
    <row r="274" spans="1:10" s="25" customFormat="1" ht="14.25" customHeight="1" x14ac:dyDescent="0.2">
      <c r="A274" s="4">
        <v>8</v>
      </c>
      <c r="B274" s="3" t="s">
        <v>75</v>
      </c>
      <c r="C274" s="4" t="s">
        <v>16</v>
      </c>
      <c r="D274" s="4" t="s">
        <v>149</v>
      </c>
      <c r="E274" s="4">
        <v>6</v>
      </c>
      <c r="F274" s="11">
        <v>36.5</v>
      </c>
      <c r="G274" s="8">
        <v>20</v>
      </c>
      <c r="H274" s="41">
        <f t="shared" si="93"/>
        <v>43.8</v>
      </c>
      <c r="I274" s="41"/>
      <c r="J274" s="66"/>
    </row>
    <row r="275" spans="1:10" s="25" customFormat="1" ht="14.25" customHeight="1" x14ac:dyDescent="0.2">
      <c r="A275" s="4">
        <v>9</v>
      </c>
      <c r="B275" s="3" t="s">
        <v>76</v>
      </c>
      <c r="C275" s="4" t="s">
        <v>16</v>
      </c>
      <c r="D275" s="4" t="s">
        <v>25</v>
      </c>
      <c r="E275" s="4">
        <v>6</v>
      </c>
      <c r="F275" s="11">
        <v>9.57</v>
      </c>
      <c r="G275" s="8">
        <v>20</v>
      </c>
      <c r="H275" s="41">
        <f t="shared" ref="H275" si="94">F275*G275/100+F275</f>
        <v>11.484</v>
      </c>
      <c r="I275" s="41"/>
      <c r="J275" s="66"/>
    </row>
    <row r="276" spans="1:10" x14ac:dyDescent="0.2">
      <c r="A276" s="4">
        <v>10</v>
      </c>
      <c r="B276" s="18" t="s">
        <v>165</v>
      </c>
      <c r="C276" s="4" t="s">
        <v>83</v>
      </c>
      <c r="D276" s="4" t="s">
        <v>25</v>
      </c>
      <c r="E276" s="4">
        <v>8</v>
      </c>
      <c r="F276" s="11">
        <v>4.3</v>
      </c>
      <c r="G276" s="8">
        <v>20</v>
      </c>
      <c r="H276" s="41">
        <f t="shared" ref="H276" si="95">F276*G276/100+F276</f>
        <v>5.16</v>
      </c>
      <c r="I276" s="41"/>
      <c r="J276" s="20"/>
    </row>
    <row r="277" spans="1:10" x14ac:dyDescent="0.2">
      <c r="A277" s="4">
        <v>11</v>
      </c>
      <c r="B277" s="18" t="s">
        <v>227</v>
      </c>
      <c r="C277" s="4" t="s">
        <v>16</v>
      </c>
      <c r="D277" s="4" t="s">
        <v>427</v>
      </c>
      <c r="E277" s="4">
        <v>24</v>
      </c>
      <c r="F277" s="11">
        <v>2.5499999999999998</v>
      </c>
      <c r="G277" s="8">
        <v>20</v>
      </c>
      <c r="H277" s="41">
        <f t="shared" ref="H277:H281" si="96">F277*G277/100+F277</f>
        <v>3.0599999999999996</v>
      </c>
      <c r="I277" s="41"/>
      <c r="J277" s="20"/>
    </row>
    <row r="278" spans="1:10" x14ac:dyDescent="0.2">
      <c r="A278" s="4">
        <v>12</v>
      </c>
      <c r="B278" s="18" t="s">
        <v>228</v>
      </c>
      <c r="C278" s="4" t="s">
        <v>16</v>
      </c>
      <c r="D278" s="4" t="s">
        <v>427</v>
      </c>
      <c r="E278" s="4">
        <v>24</v>
      </c>
      <c r="F278" s="11">
        <v>5.05</v>
      </c>
      <c r="G278" s="8">
        <v>20</v>
      </c>
      <c r="H278" s="41">
        <f t="shared" si="96"/>
        <v>6.06</v>
      </c>
      <c r="I278" s="41"/>
      <c r="J278" s="20"/>
    </row>
    <row r="279" spans="1:10" x14ac:dyDescent="0.2">
      <c r="A279" s="4">
        <v>13</v>
      </c>
      <c r="B279" s="18" t="s">
        <v>589</v>
      </c>
      <c r="C279" s="4" t="s">
        <v>16</v>
      </c>
      <c r="D279" s="4" t="s">
        <v>427</v>
      </c>
      <c r="E279" s="4">
        <v>12</v>
      </c>
      <c r="F279" s="11">
        <v>7.7</v>
      </c>
      <c r="G279" s="8">
        <v>20</v>
      </c>
      <c r="H279" s="41">
        <f t="shared" ref="H279" si="97">F279*G279/100+F279</f>
        <v>9.24</v>
      </c>
      <c r="I279" s="41"/>
      <c r="J279" s="20"/>
    </row>
    <row r="280" spans="1:10" x14ac:dyDescent="0.2">
      <c r="A280" s="4">
        <v>14</v>
      </c>
      <c r="B280" s="18" t="s">
        <v>229</v>
      </c>
      <c r="C280" s="4" t="s">
        <v>16</v>
      </c>
      <c r="D280" s="4" t="s">
        <v>427</v>
      </c>
      <c r="E280" s="4">
        <v>16</v>
      </c>
      <c r="F280" s="11">
        <v>5.97</v>
      </c>
      <c r="G280" s="8">
        <v>20</v>
      </c>
      <c r="H280" s="41">
        <f t="shared" si="96"/>
        <v>7.1639999999999997</v>
      </c>
      <c r="I280" s="41"/>
      <c r="J280" s="20"/>
    </row>
    <row r="281" spans="1:10" x14ac:dyDescent="0.2">
      <c r="A281" s="4">
        <v>15</v>
      </c>
      <c r="B281" s="36" t="s">
        <v>230</v>
      </c>
      <c r="C281" s="4" t="s">
        <v>16</v>
      </c>
      <c r="D281" s="4" t="s">
        <v>428</v>
      </c>
      <c r="E281" s="4">
        <v>12</v>
      </c>
      <c r="F281" s="11">
        <v>7.02</v>
      </c>
      <c r="G281" s="8">
        <v>20</v>
      </c>
      <c r="H281" s="41">
        <f t="shared" si="96"/>
        <v>8.4239999999999995</v>
      </c>
      <c r="I281" s="41"/>
      <c r="J281" s="20"/>
    </row>
    <row r="282" spans="1:10" x14ac:dyDescent="0.2">
      <c r="A282" s="4">
        <v>16</v>
      </c>
      <c r="B282" s="18" t="s">
        <v>68</v>
      </c>
      <c r="C282" s="4" t="s">
        <v>16</v>
      </c>
      <c r="D282" s="4" t="s">
        <v>26</v>
      </c>
      <c r="E282" s="4">
        <v>12</v>
      </c>
      <c r="F282" s="11">
        <v>17.95</v>
      </c>
      <c r="G282" s="8">
        <v>20</v>
      </c>
      <c r="H282" s="41">
        <f t="shared" si="93"/>
        <v>21.54</v>
      </c>
      <c r="I282" s="41"/>
      <c r="J282" s="20"/>
    </row>
    <row r="283" spans="1:10" x14ac:dyDescent="0.2">
      <c r="A283" s="4">
        <v>17</v>
      </c>
      <c r="B283" s="18" t="s">
        <v>207</v>
      </c>
      <c r="C283" s="4" t="s">
        <v>16</v>
      </c>
      <c r="D283" s="4" t="s">
        <v>208</v>
      </c>
      <c r="E283" s="4">
        <v>24</v>
      </c>
      <c r="F283" s="11">
        <v>6.4</v>
      </c>
      <c r="G283" s="8">
        <v>20</v>
      </c>
      <c r="H283" s="41">
        <f t="shared" ref="H283:H290" si="98">F283*G283/100+F283</f>
        <v>7.6800000000000006</v>
      </c>
      <c r="I283" s="41"/>
      <c r="J283" s="20"/>
    </row>
    <row r="284" spans="1:10" x14ac:dyDescent="0.2">
      <c r="A284" s="4">
        <v>18</v>
      </c>
      <c r="B284" s="87" t="s">
        <v>596</v>
      </c>
      <c r="C284" s="4" t="s">
        <v>16</v>
      </c>
      <c r="D284" s="4" t="s">
        <v>26</v>
      </c>
      <c r="E284" s="4">
        <v>6</v>
      </c>
      <c r="F284" s="11">
        <v>6</v>
      </c>
      <c r="G284" s="8">
        <v>20</v>
      </c>
      <c r="H284" s="41">
        <f t="shared" ref="H284:H289" si="99">F284*G284/100+F284</f>
        <v>7.2</v>
      </c>
      <c r="I284" s="41"/>
      <c r="J284" s="20"/>
    </row>
    <row r="285" spans="1:10" x14ac:dyDescent="0.2">
      <c r="A285" s="4">
        <v>19</v>
      </c>
      <c r="B285" s="87" t="s">
        <v>597</v>
      </c>
      <c r="C285" s="4" t="s">
        <v>16</v>
      </c>
      <c r="D285" s="4" t="s">
        <v>26</v>
      </c>
      <c r="E285" s="4">
        <v>6</v>
      </c>
      <c r="F285" s="11">
        <v>6</v>
      </c>
      <c r="G285" s="8">
        <v>20</v>
      </c>
      <c r="H285" s="41">
        <f t="shared" si="99"/>
        <v>7.2</v>
      </c>
      <c r="I285" s="41"/>
      <c r="J285" s="20"/>
    </row>
    <row r="286" spans="1:10" x14ac:dyDescent="0.2">
      <c r="A286" s="4">
        <v>20</v>
      </c>
      <c r="B286" s="87" t="s">
        <v>598</v>
      </c>
      <c r="C286" s="4" t="s">
        <v>16</v>
      </c>
      <c r="D286" s="4" t="s">
        <v>26</v>
      </c>
      <c r="E286" s="4">
        <v>12</v>
      </c>
      <c r="F286" s="11">
        <v>3.4</v>
      </c>
      <c r="G286" s="8">
        <v>20</v>
      </c>
      <c r="H286" s="41">
        <f t="shared" si="99"/>
        <v>4.08</v>
      </c>
      <c r="I286" s="41"/>
      <c r="J286" s="20"/>
    </row>
    <row r="287" spans="1:10" x14ac:dyDescent="0.2">
      <c r="A287" s="4">
        <v>21</v>
      </c>
      <c r="B287" s="87" t="s">
        <v>599</v>
      </c>
      <c r="C287" s="4" t="s">
        <v>16</v>
      </c>
      <c r="D287" s="4" t="s">
        <v>428</v>
      </c>
      <c r="E287" s="4">
        <v>12</v>
      </c>
      <c r="F287" s="11">
        <v>7.7</v>
      </c>
      <c r="G287" s="8">
        <v>20</v>
      </c>
      <c r="H287" s="41">
        <f t="shared" si="99"/>
        <v>9.24</v>
      </c>
      <c r="I287" s="41"/>
      <c r="J287" s="20"/>
    </row>
    <row r="288" spans="1:10" x14ac:dyDescent="0.2">
      <c r="A288" s="4">
        <v>22</v>
      </c>
      <c r="B288" s="87" t="s">
        <v>600</v>
      </c>
      <c r="C288" s="4" t="s">
        <v>16</v>
      </c>
      <c r="D288" s="4" t="s">
        <v>463</v>
      </c>
      <c r="E288" s="4">
        <v>24</v>
      </c>
      <c r="F288" s="11">
        <v>6</v>
      </c>
      <c r="G288" s="8">
        <v>20</v>
      </c>
      <c r="H288" s="41">
        <f t="shared" si="99"/>
        <v>7.2</v>
      </c>
      <c r="I288" s="41"/>
      <c r="J288" s="20"/>
    </row>
    <row r="289" spans="1:10" x14ac:dyDescent="0.2">
      <c r="A289" s="4">
        <v>23</v>
      </c>
      <c r="B289" s="87" t="s">
        <v>601</v>
      </c>
      <c r="C289" s="4" t="s">
        <v>16</v>
      </c>
      <c r="D289" s="4" t="s">
        <v>463</v>
      </c>
      <c r="E289" s="4">
        <v>6</v>
      </c>
      <c r="F289" s="11">
        <v>7.5</v>
      </c>
      <c r="G289" s="8">
        <v>20</v>
      </c>
      <c r="H289" s="41">
        <f t="shared" si="99"/>
        <v>9</v>
      </c>
      <c r="I289" s="41"/>
      <c r="J289" s="20"/>
    </row>
    <row r="290" spans="1:10" x14ac:dyDescent="0.2">
      <c r="A290" s="4">
        <v>24</v>
      </c>
      <c r="B290" s="18" t="s">
        <v>464</v>
      </c>
      <c r="C290" s="4" t="s">
        <v>462</v>
      </c>
      <c r="D290" s="4" t="s">
        <v>463</v>
      </c>
      <c r="E290" s="4">
        <v>12</v>
      </c>
      <c r="F290" s="11">
        <v>9.56</v>
      </c>
      <c r="G290" s="8">
        <v>20</v>
      </c>
      <c r="H290" s="41">
        <f t="shared" si="98"/>
        <v>11.472000000000001</v>
      </c>
      <c r="I290" s="41"/>
      <c r="J290" s="20"/>
    </row>
    <row r="291" spans="1:10" x14ac:dyDescent="0.2">
      <c r="A291" s="4">
        <v>25</v>
      </c>
      <c r="B291" s="18" t="s">
        <v>39</v>
      </c>
      <c r="C291" s="4" t="s">
        <v>16</v>
      </c>
      <c r="D291" s="4" t="s">
        <v>25</v>
      </c>
      <c r="E291" s="4">
        <v>12</v>
      </c>
      <c r="F291" s="11">
        <v>11.53</v>
      </c>
      <c r="G291" s="8">
        <v>20</v>
      </c>
      <c r="H291" s="41">
        <f t="shared" si="93"/>
        <v>13.835999999999999</v>
      </c>
      <c r="I291" s="41"/>
      <c r="J291" s="20"/>
    </row>
    <row r="292" spans="1:10" x14ac:dyDescent="0.2">
      <c r="A292" s="4">
        <v>26</v>
      </c>
      <c r="B292" s="18" t="s">
        <v>29</v>
      </c>
      <c r="C292" s="17" t="s">
        <v>16</v>
      </c>
      <c r="D292" s="4" t="s">
        <v>25</v>
      </c>
      <c r="E292" s="4">
        <v>12</v>
      </c>
      <c r="F292" s="11">
        <v>11.53</v>
      </c>
      <c r="G292" s="8">
        <v>20</v>
      </c>
      <c r="H292" s="41">
        <f t="shared" si="93"/>
        <v>13.835999999999999</v>
      </c>
      <c r="I292" s="41"/>
      <c r="J292" s="20"/>
    </row>
    <row r="293" spans="1:10" x14ac:dyDescent="0.2">
      <c r="A293" s="4">
        <v>27</v>
      </c>
      <c r="B293" s="18" t="s">
        <v>87</v>
      </c>
      <c r="C293" s="17" t="s">
        <v>16</v>
      </c>
      <c r="D293" s="4" t="s">
        <v>25</v>
      </c>
      <c r="E293" s="4">
        <v>12</v>
      </c>
      <c r="F293" s="11">
        <v>12.5</v>
      </c>
      <c r="G293" s="8">
        <v>20</v>
      </c>
      <c r="H293" s="41">
        <f t="shared" ref="H293" si="100">F293*G293/100+F293</f>
        <v>15</v>
      </c>
      <c r="I293" s="41"/>
      <c r="J293" s="20"/>
    </row>
    <row r="294" spans="1:10" x14ac:dyDescent="0.2">
      <c r="A294" s="4">
        <v>28</v>
      </c>
      <c r="B294" s="18" t="s">
        <v>88</v>
      </c>
      <c r="C294" s="17" t="s">
        <v>16</v>
      </c>
      <c r="D294" s="17" t="s">
        <v>149</v>
      </c>
      <c r="E294" s="17">
        <v>6</v>
      </c>
      <c r="F294" s="19">
        <v>32.9</v>
      </c>
      <c r="G294" s="8">
        <v>20</v>
      </c>
      <c r="H294" s="41">
        <f>F294*G294/100+F294</f>
        <v>39.479999999999997</v>
      </c>
      <c r="I294" s="41"/>
      <c r="J294" s="20"/>
    </row>
    <row r="295" spans="1:10" x14ac:dyDescent="0.2">
      <c r="A295" s="4">
        <v>30</v>
      </c>
      <c r="B295" s="18" t="s">
        <v>82</v>
      </c>
      <c r="C295" s="17" t="s">
        <v>22</v>
      </c>
      <c r="D295" s="17" t="s">
        <v>25</v>
      </c>
      <c r="E295" s="17">
        <v>3</v>
      </c>
      <c r="F295" s="19">
        <v>60</v>
      </c>
      <c r="G295" s="8">
        <v>20</v>
      </c>
      <c r="H295" s="41">
        <f>F295*G295/100+F295</f>
        <v>72</v>
      </c>
      <c r="I295" s="41"/>
      <c r="J295" s="20"/>
    </row>
    <row r="296" spans="1:10" x14ac:dyDescent="0.2">
      <c r="A296" s="4">
        <v>31</v>
      </c>
      <c r="B296" s="18" t="s">
        <v>294</v>
      </c>
      <c r="C296" s="17" t="s">
        <v>22</v>
      </c>
      <c r="D296" s="5" t="s">
        <v>26</v>
      </c>
      <c r="E296" s="17">
        <v>6</v>
      </c>
      <c r="F296" s="19">
        <v>106.5</v>
      </c>
      <c r="G296" s="8">
        <v>20</v>
      </c>
      <c r="H296" s="19">
        <f>F296*G296/100+F296</f>
        <v>127.8</v>
      </c>
      <c r="I296" s="19"/>
      <c r="J296" s="19"/>
    </row>
    <row r="297" spans="1:10" x14ac:dyDescent="0.2">
      <c r="A297" s="4">
        <v>32</v>
      </c>
      <c r="B297" s="18" t="s">
        <v>174</v>
      </c>
      <c r="C297" s="17" t="s">
        <v>16</v>
      </c>
      <c r="D297" s="4" t="s">
        <v>26</v>
      </c>
      <c r="E297" s="17">
        <v>3</v>
      </c>
      <c r="F297" s="19">
        <v>29.9</v>
      </c>
      <c r="G297" s="8">
        <v>20</v>
      </c>
      <c r="H297" s="41">
        <f t="shared" ref="H297:H304" si="101">F297*G297/100+F297</f>
        <v>35.879999999999995</v>
      </c>
      <c r="I297" s="41"/>
      <c r="J297" s="20"/>
    </row>
    <row r="298" spans="1:10" x14ac:dyDescent="0.2">
      <c r="A298" s="4">
        <v>33</v>
      </c>
      <c r="B298" s="18" t="s">
        <v>592</v>
      </c>
      <c r="C298" s="17" t="s">
        <v>16</v>
      </c>
      <c r="D298" s="4" t="s">
        <v>26</v>
      </c>
      <c r="E298" s="17">
        <v>3</v>
      </c>
      <c r="F298" s="19">
        <v>46.9</v>
      </c>
      <c r="G298" s="8">
        <v>20</v>
      </c>
      <c r="H298" s="41">
        <f t="shared" ref="H298:H299" si="102">F298*G298/100+F298</f>
        <v>56.28</v>
      </c>
      <c r="I298" s="41"/>
      <c r="J298" s="20"/>
    </row>
    <row r="299" spans="1:10" ht="15" customHeight="1" x14ac:dyDescent="0.2">
      <c r="A299" s="4">
        <v>34</v>
      </c>
      <c r="B299" s="18" t="s">
        <v>593</v>
      </c>
      <c r="C299" s="17" t="s">
        <v>16</v>
      </c>
      <c r="D299" s="4" t="s">
        <v>26</v>
      </c>
      <c r="E299" s="17">
        <v>3</v>
      </c>
      <c r="F299" s="19">
        <v>46.9</v>
      </c>
      <c r="G299" s="8">
        <v>20</v>
      </c>
      <c r="H299" s="41">
        <f t="shared" si="102"/>
        <v>56.28</v>
      </c>
      <c r="I299" s="41"/>
      <c r="J299" s="20"/>
    </row>
    <row r="300" spans="1:10" x14ac:dyDescent="0.2">
      <c r="A300" s="4">
        <v>35</v>
      </c>
      <c r="B300" s="18" t="s">
        <v>175</v>
      </c>
      <c r="C300" s="17" t="s">
        <v>16</v>
      </c>
      <c r="D300" s="4" t="s">
        <v>26</v>
      </c>
      <c r="E300" s="17">
        <v>3</v>
      </c>
      <c r="F300" s="19">
        <v>26.5</v>
      </c>
      <c r="G300" s="8">
        <v>20</v>
      </c>
      <c r="H300" s="41">
        <f t="shared" si="101"/>
        <v>31.8</v>
      </c>
      <c r="I300" s="41"/>
      <c r="J300" s="20"/>
    </row>
    <row r="301" spans="1:10" x14ac:dyDescent="0.2">
      <c r="A301" s="4">
        <v>36</v>
      </c>
      <c r="B301" s="18" t="s">
        <v>176</v>
      </c>
      <c r="C301" s="17" t="s">
        <v>16</v>
      </c>
      <c r="D301" s="4" t="s">
        <v>26</v>
      </c>
      <c r="E301" s="17">
        <v>6</v>
      </c>
      <c r="F301" s="19">
        <v>18</v>
      </c>
      <c r="G301" s="8">
        <v>20</v>
      </c>
      <c r="H301" s="41">
        <f t="shared" si="101"/>
        <v>21.6</v>
      </c>
      <c r="I301" s="41"/>
      <c r="J301" s="20"/>
    </row>
    <row r="302" spans="1:10" x14ac:dyDescent="0.2">
      <c r="A302" s="4">
        <v>37</v>
      </c>
      <c r="B302" s="18" t="s">
        <v>590</v>
      </c>
      <c r="C302" s="17" t="s">
        <v>16</v>
      </c>
      <c r="D302" s="4" t="s">
        <v>26</v>
      </c>
      <c r="E302" s="17">
        <v>6</v>
      </c>
      <c r="F302" s="19">
        <v>19.899999999999999</v>
      </c>
      <c r="G302" s="8">
        <v>20</v>
      </c>
      <c r="H302" s="41">
        <f t="shared" ref="H302:H303" si="103">F302*G302/100+F302</f>
        <v>23.88</v>
      </c>
      <c r="I302" s="41"/>
      <c r="J302" s="20"/>
    </row>
    <row r="303" spans="1:10" x14ac:dyDescent="0.2">
      <c r="A303" s="4">
        <v>38</v>
      </c>
      <c r="B303" s="18" t="s">
        <v>591</v>
      </c>
      <c r="C303" s="17" t="s">
        <v>16</v>
      </c>
      <c r="D303" s="4" t="s">
        <v>26</v>
      </c>
      <c r="E303" s="17">
        <v>6</v>
      </c>
      <c r="F303" s="19">
        <v>26.9</v>
      </c>
      <c r="G303" s="8">
        <v>20</v>
      </c>
      <c r="H303" s="41">
        <f t="shared" si="103"/>
        <v>32.28</v>
      </c>
      <c r="I303" s="41"/>
      <c r="J303" s="20"/>
    </row>
    <row r="304" spans="1:10" x14ac:dyDescent="0.2">
      <c r="A304" s="4">
        <v>39</v>
      </c>
      <c r="B304" s="18" t="s">
        <v>177</v>
      </c>
      <c r="C304" s="17" t="s">
        <v>16</v>
      </c>
      <c r="D304" s="4" t="s">
        <v>26</v>
      </c>
      <c r="E304" s="17">
        <v>6</v>
      </c>
      <c r="F304" s="19">
        <v>17.3</v>
      </c>
      <c r="G304" s="8">
        <v>20</v>
      </c>
      <c r="H304" s="41">
        <f t="shared" si="101"/>
        <v>20.76</v>
      </c>
      <c r="I304" s="41"/>
      <c r="J304" s="20"/>
    </row>
    <row r="305" spans="1:10" ht="14.25" customHeight="1" x14ac:dyDescent="0.2">
      <c r="A305" s="4">
        <v>40</v>
      </c>
      <c r="B305" s="18" t="s">
        <v>449</v>
      </c>
      <c r="C305" s="1" t="s">
        <v>16</v>
      </c>
      <c r="D305" s="3" t="s">
        <v>80</v>
      </c>
      <c r="E305" s="17"/>
      <c r="F305" s="19">
        <v>32.9</v>
      </c>
      <c r="G305" s="8">
        <v>20</v>
      </c>
      <c r="H305" s="19">
        <f t="shared" ref="H305" si="104">F305*G305/100+F305</f>
        <v>39.479999999999997</v>
      </c>
      <c r="I305" s="16">
        <f t="shared" ref="I305" si="105">F305</f>
        <v>32.9</v>
      </c>
      <c r="J305" s="20"/>
    </row>
    <row r="306" spans="1:10" ht="14.25" customHeight="1" x14ac:dyDescent="0.2">
      <c r="A306" s="4">
        <v>41</v>
      </c>
      <c r="B306" s="18" t="s">
        <v>633</v>
      </c>
      <c r="C306" s="1" t="s">
        <v>16</v>
      </c>
      <c r="D306" s="3" t="s">
        <v>80</v>
      </c>
      <c r="E306" s="17">
        <v>1</v>
      </c>
      <c r="F306" s="19">
        <v>16.100000000000001</v>
      </c>
      <c r="G306" s="8">
        <v>20</v>
      </c>
      <c r="H306" s="19">
        <f t="shared" ref="H306:H307" si="106">F306*G306/100+F306</f>
        <v>19.32</v>
      </c>
      <c r="I306" s="16">
        <f>F306/3</f>
        <v>5.3666666666666671</v>
      </c>
      <c r="J306" s="20"/>
    </row>
    <row r="307" spans="1:10" ht="14.25" customHeight="1" x14ac:dyDescent="0.2">
      <c r="A307" s="4">
        <v>42</v>
      </c>
      <c r="B307" s="18" t="s">
        <v>634</v>
      </c>
      <c r="C307" s="1" t="s">
        <v>16</v>
      </c>
      <c r="D307" s="3" t="s">
        <v>80</v>
      </c>
      <c r="E307" s="17">
        <v>1</v>
      </c>
      <c r="F307" s="19">
        <v>16.100000000000001</v>
      </c>
      <c r="G307" s="8">
        <v>20</v>
      </c>
      <c r="H307" s="19">
        <f t="shared" si="106"/>
        <v>19.32</v>
      </c>
      <c r="I307" s="16">
        <f>F307/3</f>
        <v>5.3666666666666671</v>
      </c>
      <c r="J307" s="20"/>
    </row>
    <row r="308" spans="1:10" x14ac:dyDescent="0.2">
      <c r="A308" s="99" t="s">
        <v>32</v>
      </c>
      <c r="B308" s="100"/>
      <c r="C308" s="100"/>
      <c r="D308" s="100"/>
      <c r="E308" s="100"/>
      <c r="F308" s="100"/>
      <c r="G308" s="100"/>
      <c r="H308" s="100"/>
      <c r="I308" s="55"/>
      <c r="J308" s="20"/>
    </row>
    <row r="309" spans="1:10" x14ac:dyDescent="0.2">
      <c r="A309" s="17">
        <v>1</v>
      </c>
      <c r="B309" s="1" t="s">
        <v>31</v>
      </c>
      <c r="C309" s="17" t="s">
        <v>16</v>
      </c>
      <c r="D309" s="4" t="s">
        <v>25</v>
      </c>
      <c r="E309" s="17">
        <v>12</v>
      </c>
      <c r="F309" s="19">
        <v>14.5</v>
      </c>
      <c r="G309" s="8">
        <v>20</v>
      </c>
      <c r="H309" s="41">
        <f>F309*G309/100+F309</f>
        <v>17.399999999999999</v>
      </c>
      <c r="I309" s="41"/>
      <c r="J309" s="20"/>
    </row>
    <row r="310" spans="1:10" x14ac:dyDescent="0.2">
      <c r="A310" s="17">
        <f>A309+1</f>
        <v>2</v>
      </c>
      <c r="B310" s="1" t="s">
        <v>445</v>
      </c>
      <c r="C310" s="17" t="s">
        <v>16</v>
      </c>
      <c r="D310" s="17" t="s">
        <v>149</v>
      </c>
      <c r="E310" s="17">
        <v>4</v>
      </c>
      <c r="F310" s="19">
        <v>78.900000000000006</v>
      </c>
      <c r="G310" s="8">
        <v>20</v>
      </c>
      <c r="H310" s="41">
        <f t="shared" ref="H310:H317" si="107">F310*G310/100+F310</f>
        <v>94.68</v>
      </c>
      <c r="I310" s="41"/>
      <c r="J310" s="20"/>
    </row>
    <row r="311" spans="1:10" x14ac:dyDescent="0.2">
      <c r="A311" s="17">
        <f t="shared" ref="A311:A318" si="108">A310+1</f>
        <v>3</v>
      </c>
      <c r="B311" s="1" t="s">
        <v>30</v>
      </c>
      <c r="C311" s="17" t="s">
        <v>16</v>
      </c>
      <c r="D311" s="4" t="s">
        <v>25</v>
      </c>
      <c r="E311" s="17">
        <v>12</v>
      </c>
      <c r="F311" s="19">
        <v>17.27</v>
      </c>
      <c r="G311" s="8">
        <v>20</v>
      </c>
      <c r="H311" s="41">
        <f t="shared" si="107"/>
        <v>20.724</v>
      </c>
      <c r="I311" s="41"/>
      <c r="J311" s="20"/>
    </row>
    <row r="312" spans="1:10" x14ac:dyDescent="0.2">
      <c r="A312" s="17">
        <f t="shared" si="108"/>
        <v>4</v>
      </c>
      <c r="B312" s="1" t="s">
        <v>28</v>
      </c>
      <c r="C312" s="17" t="s">
        <v>16</v>
      </c>
      <c r="D312" s="17" t="s">
        <v>149</v>
      </c>
      <c r="E312" s="21">
        <v>6</v>
      </c>
      <c r="F312" s="19">
        <v>89.2</v>
      </c>
      <c r="G312" s="8">
        <v>20</v>
      </c>
      <c r="H312" s="41">
        <f t="shared" si="107"/>
        <v>107.04</v>
      </c>
      <c r="I312" s="41"/>
      <c r="J312" s="20"/>
    </row>
    <row r="313" spans="1:10" x14ac:dyDescent="0.2">
      <c r="A313" s="17">
        <f t="shared" si="108"/>
        <v>5</v>
      </c>
      <c r="B313" s="1" t="s">
        <v>70</v>
      </c>
      <c r="C313" s="17" t="s">
        <v>16</v>
      </c>
      <c r="D313" s="4" t="s">
        <v>25</v>
      </c>
      <c r="E313" s="21">
        <v>6</v>
      </c>
      <c r="F313" s="19">
        <v>89.2</v>
      </c>
      <c r="G313" s="8">
        <v>20</v>
      </c>
      <c r="H313" s="41">
        <f t="shared" si="107"/>
        <v>107.04</v>
      </c>
      <c r="I313" s="41"/>
      <c r="J313" s="20"/>
    </row>
    <row r="314" spans="1:10" x14ac:dyDescent="0.2">
      <c r="A314" s="17">
        <f t="shared" si="108"/>
        <v>6</v>
      </c>
      <c r="B314" s="1" t="s">
        <v>446</v>
      </c>
      <c r="C314" s="17" t="s">
        <v>16</v>
      </c>
      <c r="D314" s="4" t="s">
        <v>25</v>
      </c>
      <c r="E314" s="21">
        <v>12</v>
      </c>
      <c r="F314" s="19">
        <v>15.05</v>
      </c>
      <c r="G314" s="8">
        <v>20</v>
      </c>
      <c r="H314" s="41">
        <f t="shared" si="107"/>
        <v>18.060000000000002</v>
      </c>
      <c r="I314" s="41"/>
      <c r="J314" s="20"/>
    </row>
    <row r="315" spans="1:10" x14ac:dyDescent="0.2">
      <c r="A315" s="17">
        <f>A314+1</f>
        <v>7</v>
      </c>
      <c r="B315" s="1" t="s">
        <v>58</v>
      </c>
      <c r="C315" s="17" t="s">
        <v>16</v>
      </c>
      <c r="D315" s="4" t="s">
        <v>25</v>
      </c>
      <c r="E315" s="21">
        <v>6</v>
      </c>
      <c r="F315" s="19">
        <v>10.49</v>
      </c>
      <c r="G315" s="8">
        <v>20</v>
      </c>
      <c r="H315" s="41">
        <f t="shared" si="107"/>
        <v>12.588000000000001</v>
      </c>
      <c r="I315" s="41"/>
      <c r="J315" s="20"/>
    </row>
    <row r="316" spans="1:10" x14ac:dyDescent="0.2">
      <c r="A316" s="17">
        <f t="shared" si="108"/>
        <v>8</v>
      </c>
      <c r="B316" s="1" t="s">
        <v>71</v>
      </c>
      <c r="C316" s="17" t="s">
        <v>16</v>
      </c>
      <c r="D316" s="4" t="s">
        <v>25</v>
      </c>
      <c r="E316" s="21">
        <v>6</v>
      </c>
      <c r="F316" s="19">
        <v>35.5</v>
      </c>
      <c r="G316" s="8">
        <v>20</v>
      </c>
      <c r="H316" s="41">
        <f t="shared" si="107"/>
        <v>42.6</v>
      </c>
      <c r="I316" s="41"/>
      <c r="J316" s="20"/>
    </row>
    <row r="317" spans="1:10" x14ac:dyDescent="0.2">
      <c r="A317" s="17">
        <f>A316+1</f>
        <v>9</v>
      </c>
      <c r="B317" s="1" t="s">
        <v>450</v>
      </c>
      <c r="C317" s="1" t="s">
        <v>16</v>
      </c>
      <c r="D317" s="18" t="s">
        <v>451</v>
      </c>
      <c r="E317" s="21"/>
      <c r="F317" s="19">
        <v>93</v>
      </c>
      <c r="G317" s="8">
        <v>20</v>
      </c>
      <c r="H317" s="19">
        <f t="shared" si="107"/>
        <v>111.6</v>
      </c>
      <c r="I317" s="16">
        <f>F317/1.2</f>
        <v>77.5</v>
      </c>
      <c r="J317" s="20"/>
    </row>
    <row r="318" spans="1:10" x14ac:dyDescent="0.2">
      <c r="A318" s="17">
        <f t="shared" si="108"/>
        <v>10</v>
      </c>
      <c r="B318" s="1" t="s">
        <v>458</v>
      </c>
      <c r="C318" s="1" t="s">
        <v>16</v>
      </c>
      <c r="D318" s="18" t="s">
        <v>149</v>
      </c>
      <c r="E318" s="21">
        <v>4</v>
      </c>
      <c r="F318" s="19">
        <v>68.5</v>
      </c>
      <c r="G318" s="8">
        <v>20</v>
      </c>
      <c r="H318" s="19">
        <f t="shared" ref="H318" si="109">F318*G318/100+F318</f>
        <v>82.2</v>
      </c>
      <c r="I318" s="16">
        <f t="shared" ref="I318" si="110">F318/0.97</f>
        <v>70.618556701030926</v>
      </c>
      <c r="J318" s="20"/>
    </row>
    <row r="319" spans="1:10" x14ac:dyDescent="0.2">
      <c r="A319" s="99" t="s">
        <v>51</v>
      </c>
      <c r="B319" s="100"/>
      <c r="C319" s="100"/>
      <c r="D319" s="100"/>
      <c r="E319" s="100"/>
      <c r="F319" s="100"/>
      <c r="G319" s="100"/>
      <c r="H319" s="100"/>
      <c r="I319" s="55"/>
      <c r="J319" s="20"/>
    </row>
    <row r="320" spans="1:10" x14ac:dyDescent="0.2">
      <c r="A320" s="17">
        <v>1</v>
      </c>
      <c r="B320" s="2" t="s">
        <v>52</v>
      </c>
      <c r="C320" s="45" t="s">
        <v>16</v>
      </c>
      <c r="D320" s="4" t="s">
        <v>25</v>
      </c>
      <c r="E320" s="17">
        <v>12</v>
      </c>
      <c r="F320" s="16">
        <v>17.600000000000001</v>
      </c>
      <c r="G320" s="8">
        <v>20</v>
      </c>
      <c r="H320" s="41">
        <f t="shared" ref="H320:H322" si="111">F320*G320/100+F320</f>
        <v>21.12</v>
      </c>
      <c r="I320" s="41"/>
      <c r="J320" s="20"/>
    </row>
    <row r="321" spans="1:10" x14ac:dyDescent="0.2">
      <c r="A321" s="17">
        <f>A320+1</f>
        <v>2</v>
      </c>
      <c r="B321" s="2" t="s">
        <v>101</v>
      </c>
      <c r="C321" s="45" t="s">
        <v>16</v>
      </c>
      <c r="D321" s="4" t="s">
        <v>25</v>
      </c>
      <c r="E321" s="17">
        <v>6</v>
      </c>
      <c r="F321" s="16">
        <v>49</v>
      </c>
      <c r="G321" s="8">
        <v>20</v>
      </c>
      <c r="H321" s="41">
        <f t="shared" ref="H321" si="112">F321*G321/100+F321</f>
        <v>58.8</v>
      </c>
      <c r="I321" s="41"/>
      <c r="J321" s="20"/>
    </row>
    <row r="322" spans="1:10" x14ac:dyDescent="0.2">
      <c r="A322" s="17">
        <v>3</v>
      </c>
      <c r="B322" s="2" t="s">
        <v>233</v>
      </c>
      <c r="C322" s="45" t="s">
        <v>16</v>
      </c>
      <c r="D322" s="4" t="s">
        <v>25</v>
      </c>
      <c r="E322" s="17">
        <v>12</v>
      </c>
      <c r="F322" s="16">
        <v>29.65</v>
      </c>
      <c r="G322" s="8">
        <v>20</v>
      </c>
      <c r="H322" s="41">
        <f t="shared" si="111"/>
        <v>35.58</v>
      </c>
      <c r="I322" s="41"/>
      <c r="J322" s="20"/>
    </row>
    <row r="323" spans="1:10" x14ac:dyDescent="0.2">
      <c r="A323" s="17">
        <v>4</v>
      </c>
      <c r="B323" s="2" t="s">
        <v>53</v>
      </c>
      <c r="C323" s="45" t="s">
        <v>16</v>
      </c>
      <c r="D323" s="4" t="s">
        <v>25</v>
      </c>
      <c r="E323" s="17">
        <v>12</v>
      </c>
      <c r="F323" s="16">
        <v>29.65</v>
      </c>
      <c r="G323" s="8">
        <v>20</v>
      </c>
      <c r="H323" s="41">
        <f t="shared" ref="H323" si="113">F323*G323/100+F323</f>
        <v>35.58</v>
      </c>
      <c r="I323" s="41"/>
      <c r="J323" s="20"/>
    </row>
    <row r="324" spans="1:10" x14ac:dyDescent="0.2">
      <c r="A324" s="17">
        <v>5</v>
      </c>
      <c r="B324" s="2" t="s">
        <v>483</v>
      </c>
      <c r="C324" s="45" t="s">
        <v>16</v>
      </c>
      <c r="D324" s="4" t="s">
        <v>25</v>
      </c>
      <c r="E324" s="17">
        <v>6</v>
      </c>
      <c r="F324" s="16">
        <v>16.8</v>
      </c>
      <c r="G324" s="8">
        <v>20</v>
      </c>
      <c r="H324" s="41">
        <f t="shared" ref="H324:H325" si="114">F324*G324/100+F324</f>
        <v>20.16</v>
      </c>
      <c r="I324" s="41"/>
      <c r="J324" s="20"/>
    </row>
    <row r="325" spans="1:10" ht="24" x14ac:dyDescent="0.2">
      <c r="A325" s="17">
        <v>6</v>
      </c>
      <c r="B325" s="2" t="s">
        <v>484</v>
      </c>
      <c r="C325" s="45" t="s">
        <v>16</v>
      </c>
      <c r="D325" s="4" t="s">
        <v>25</v>
      </c>
      <c r="E325" s="17">
        <v>6</v>
      </c>
      <c r="F325" s="16">
        <v>16.8</v>
      </c>
      <c r="G325" s="8">
        <v>20</v>
      </c>
      <c r="H325" s="41">
        <f t="shared" si="114"/>
        <v>20.16</v>
      </c>
      <c r="I325" s="41"/>
      <c r="J325" s="20"/>
    </row>
    <row r="326" spans="1:10" x14ac:dyDescent="0.2">
      <c r="A326" s="17">
        <v>7</v>
      </c>
      <c r="B326" s="2" t="s">
        <v>618</v>
      </c>
      <c r="C326" s="45" t="s">
        <v>16</v>
      </c>
      <c r="D326" s="4" t="s">
        <v>149</v>
      </c>
      <c r="E326" s="17">
        <v>6</v>
      </c>
      <c r="F326" s="16">
        <v>37</v>
      </c>
      <c r="G326" s="8">
        <v>20</v>
      </c>
      <c r="H326" s="41">
        <f t="shared" ref="H326" si="115">F326*G326/100+F326</f>
        <v>44.4</v>
      </c>
      <c r="I326" s="41"/>
      <c r="J326" s="20"/>
    </row>
    <row r="327" spans="1:10" x14ac:dyDescent="0.2">
      <c r="A327" s="99" t="s">
        <v>94</v>
      </c>
      <c r="B327" s="100"/>
      <c r="C327" s="100"/>
      <c r="D327" s="100"/>
      <c r="E327" s="100"/>
      <c r="F327" s="100"/>
      <c r="G327" s="100"/>
      <c r="H327" s="100"/>
      <c r="I327" s="55"/>
      <c r="J327" s="20"/>
    </row>
    <row r="328" spans="1:10" x14ac:dyDescent="0.2">
      <c r="A328" s="17">
        <v>1</v>
      </c>
      <c r="B328" s="18" t="s">
        <v>95</v>
      </c>
      <c r="C328" s="45" t="s">
        <v>83</v>
      </c>
      <c r="D328" s="45" t="s">
        <v>49</v>
      </c>
      <c r="E328" s="17">
        <v>20</v>
      </c>
      <c r="F328" s="19">
        <v>12.5</v>
      </c>
      <c r="G328" s="20">
        <v>20</v>
      </c>
      <c r="H328" s="19">
        <f>F328*G328/100+F328</f>
        <v>15</v>
      </c>
      <c r="I328" s="19"/>
      <c r="J328" s="19"/>
    </row>
    <row r="329" spans="1:10" x14ac:dyDescent="0.2">
      <c r="A329" s="17">
        <v>2</v>
      </c>
      <c r="B329" s="18" t="s">
        <v>138</v>
      </c>
      <c r="C329" s="45" t="s">
        <v>83</v>
      </c>
      <c r="D329" s="45" t="s">
        <v>49</v>
      </c>
      <c r="E329" s="17">
        <v>60</v>
      </c>
      <c r="F329" s="19">
        <v>1.7</v>
      </c>
      <c r="G329" s="20">
        <v>20</v>
      </c>
      <c r="H329" s="19">
        <f t="shared" ref="H329:H332" si="116">F329*G329/100+F329</f>
        <v>2.04</v>
      </c>
      <c r="I329" s="19"/>
      <c r="J329" s="19"/>
    </row>
    <row r="330" spans="1:10" x14ac:dyDescent="0.2">
      <c r="A330" s="17">
        <v>3</v>
      </c>
      <c r="B330" s="18" t="s">
        <v>350</v>
      </c>
      <c r="C330" s="45" t="s">
        <v>16</v>
      </c>
      <c r="D330" s="45" t="s">
        <v>49</v>
      </c>
      <c r="E330" s="17">
        <v>1</v>
      </c>
      <c r="F330" s="19">
        <v>21.5</v>
      </c>
      <c r="G330" s="20">
        <v>20</v>
      </c>
      <c r="H330" s="19">
        <f t="shared" si="116"/>
        <v>25.8</v>
      </c>
      <c r="I330" s="19"/>
      <c r="J330" s="19"/>
    </row>
    <row r="331" spans="1:10" x14ac:dyDescent="0.2">
      <c r="A331" s="17">
        <v>4</v>
      </c>
      <c r="B331" s="18" t="s">
        <v>351</v>
      </c>
      <c r="C331" s="45" t="s">
        <v>16</v>
      </c>
      <c r="D331" s="45" t="s">
        <v>49</v>
      </c>
      <c r="E331" s="17">
        <v>10</v>
      </c>
      <c r="F331" s="19">
        <v>16.7</v>
      </c>
      <c r="G331" s="20">
        <v>20</v>
      </c>
      <c r="H331" s="19">
        <f t="shared" si="116"/>
        <v>20.04</v>
      </c>
      <c r="I331" s="19"/>
      <c r="J331" s="19"/>
    </row>
    <row r="332" spans="1:10" x14ac:dyDescent="0.2">
      <c r="A332" s="17">
        <v>5</v>
      </c>
      <c r="B332" s="18" t="s">
        <v>139</v>
      </c>
      <c r="C332" s="45" t="s">
        <v>83</v>
      </c>
      <c r="D332" s="45" t="s">
        <v>49</v>
      </c>
      <c r="E332" s="17">
        <v>36</v>
      </c>
      <c r="F332" s="19">
        <v>3</v>
      </c>
      <c r="G332" s="20">
        <v>20</v>
      </c>
      <c r="H332" s="19">
        <f t="shared" si="116"/>
        <v>3.6</v>
      </c>
      <c r="I332" s="19"/>
      <c r="J332" s="19"/>
    </row>
    <row r="333" spans="1:10" x14ac:dyDescent="0.2">
      <c r="A333" s="17">
        <v>6</v>
      </c>
      <c r="B333" s="18" t="s">
        <v>159</v>
      </c>
      <c r="C333" s="45" t="s">
        <v>17</v>
      </c>
      <c r="D333" s="45" t="s">
        <v>465</v>
      </c>
      <c r="E333" s="17">
        <v>1</v>
      </c>
      <c r="F333" s="19">
        <v>1.98</v>
      </c>
      <c r="G333" s="20">
        <v>20</v>
      </c>
      <c r="H333" s="19">
        <f t="shared" ref="H333:H343" si="117">F333*G333/100+F333</f>
        <v>2.3759999999999999</v>
      </c>
      <c r="I333" s="19"/>
      <c r="J333" s="19"/>
    </row>
    <row r="334" spans="1:10" x14ac:dyDescent="0.2">
      <c r="A334" s="17">
        <v>7</v>
      </c>
      <c r="B334" s="18" t="s">
        <v>151</v>
      </c>
      <c r="C334" s="45" t="s">
        <v>17</v>
      </c>
      <c r="D334" s="45" t="s">
        <v>49</v>
      </c>
      <c r="E334" s="17">
        <v>8</v>
      </c>
      <c r="F334" s="19">
        <v>2.8</v>
      </c>
      <c r="G334" s="20">
        <v>10</v>
      </c>
      <c r="H334" s="19">
        <f t="shared" si="117"/>
        <v>3.08</v>
      </c>
      <c r="I334" s="19"/>
      <c r="J334" s="19"/>
    </row>
    <row r="335" spans="1:10" x14ac:dyDescent="0.2">
      <c r="A335" s="17">
        <v>8</v>
      </c>
      <c r="B335" s="18" t="s">
        <v>429</v>
      </c>
      <c r="C335" s="45" t="s">
        <v>430</v>
      </c>
      <c r="D335" s="45" t="s">
        <v>49</v>
      </c>
      <c r="E335" s="17">
        <v>6</v>
      </c>
      <c r="F335" s="19">
        <v>3.9</v>
      </c>
      <c r="G335" s="20">
        <v>10</v>
      </c>
      <c r="H335" s="19">
        <f t="shared" si="117"/>
        <v>4.29</v>
      </c>
      <c r="I335" s="19"/>
      <c r="J335" s="19"/>
    </row>
    <row r="336" spans="1:10" ht="13.15" customHeight="1" x14ac:dyDescent="0.2">
      <c r="A336" s="17">
        <v>9</v>
      </c>
      <c r="B336" s="71" t="s">
        <v>352</v>
      </c>
      <c r="C336" s="45" t="s">
        <v>16</v>
      </c>
      <c r="D336" s="45" t="s">
        <v>42</v>
      </c>
      <c r="E336" s="17"/>
      <c r="F336" s="19">
        <v>147.5</v>
      </c>
      <c r="G336" s="20">
        <v>10</v>
      </c>
      <c r="H336" s="19">
        <f t="shared" si="117"/>
        <v>162.25</v>
      </c>
      <c r="I336" s="19"/>
      <c r="J336" s="19"/>
    </row>
    <row r="337" spans="1:10" ht="13.15" customHeight="1" x14ac:dyDescent="0.2">
      <c r="A337" s="17">
        <v>10</v>
      </c>
      <c r="B337" s="18" t="s">
        <v>353</v>
      </c>
      <c r="C337" s="45" t="s">
        <v>16</v>
      </c>
      <c r="D337" s="45" t="s">
        <v>42</v>
      </c>
      <c r="E337" s="17"/>
      <c r="F337" s="19">
        <v>149.9</v>
      </c>
      <c r="G337" s="20">
        <v>10</v>
      </c>
      <c r="H337" s="19">
        <f t="shared" si="117"/>
        <v>164.89000000000001</v>
      </c>
      <c r="I337" s="19"/>
      <c r="J337" s="19"/>
    </row>
    <row r="338" spans="1:10" ht="13.15" customHeight="1" x14ac:dyDescent="0.2">
      <c r="A338" s="17">
        <v>11</v>
      </c>
      <c r="B338" s="18" t="s">
        <v>354</v>
      </c>
      <c r="C338" s="45" t="s">
        <v>16</v>
      </c>
      <c r="D338" s="45" t="s">
        <v>42</v>
      </c>
      <c r="E338" s="17"/>
      <c r="F338" s="19">
        <v>169.5</v>
      </c>
      <c r="G338" s="20">
        <v>10</v>
      </c>
      <c r="H338" s="19">
        <f t="shared" si="117"/>
        <v>186.45</v>
      </c>
      <c r="I338" s="19"/>
      <c r="J338" s="19"/>
    </row>
    <row r="339" spans="1:10" ht="13.15" customHeight="1" x14ac:dyDescent="0.2">
      <c r="A339" s="17">
        <v>12</v>
      </c>
      <c r="B339" s="18" t="s">
        <v>355</v>
      </c>
      <c r="C339" s="45" t="s">
        <v>16</v>
      </c>
      <c r="D339" s="45" t="s">
        <v>42</v>
      </c>
      <c r="E339" s="17"/>
      <c r="F339" s="19">
        <v>72.900000000000006</v>
      </c>
      <c r="G339" s="20">
        <v>10</v>
      </c>
      <c r="H339" s="19">
        <f t="shared" si="117"/>
        <v>80.190000000000012</v>
      </c>
      <c r="I339" s="19"/>
      <c r="J339" s="19"/>
    </row>
    <row r="340" spans="1:10" ht="13.15" customHeight="1" x14ac:dyDescent="0.2">
      <c r="A340" s="17">
        <v>13</v>
      </c>
      <c r="B340" s="18" t="s">
        <v>356</v>
      </c>
      <c r="C340" s="45" t="s">
        <v>16</v>
      </c>
      <c r="D340" s="45" t="s">
        <v>42</v>
      </c>
      <c r="E340" s="17"/>
      <c r="F340" s="19">
        <v>72.900000000000006</v>
      </c>
      <c r="G340" s="20">
        <v>10</v>
      </c>
      <c r="H340" s="19">
        <f t="shared" si="117"/>
        <v>80.190000000000012</v>
      </c>
      <c r="I340" s="19"/>
      <c r="J340" s="19"/>
    </row>
    <row r="341" spans="1:10" ht="13.15" customHeight="1" x14ac:dyDescent="0.2">
      <c r="A341" s="17">
        <v>14</v>
      </c>
      <c r="B341" s="18" t="s">
        <v>357</v>
      </c>
      <c r="C341" s="45" t="s">
        <v>16</v>
      </c>
      <c r="D341" s="45" t="s">
        <v>42</v>
      </c>
      <c r="E341" s="17"/>
      <c r="F341" s="19">
        <v>79.5</v>
      </c>
      <c r="G341" s="20">
        <v>20</v>
      </c>
      <c r="H341" s="19">
        <f t="shared" si="117"/>
        <v>95.4</v>
      </c>
      <c r="I341" s="19"/>
      <c r="J341" s="19"/>
    </row>
    <row r="342" spans="1:10" ht="13.15" customHeight="1" x14ac:dyDescent="0.2">
      <c r="A342" s="17">
        <v>15</v>
      </c>
      <c r="B342" s="18" t="s">
        <v>461</v>
      </c>
      <c r="C342" s="45" t="s">
        <v>83</v>
      </c>
      <c r="D342" s="45" t="s">
        <v>49</v>
      </c>
      <c r="E342" s="17"/>
      <c r="F342" s="19">
        <v>39.9</v>
      </c>
      <c r="G342" s="20">
        <v>20</v>
      </c>
      <c r="H342" s="19">
        <f t="shared" si="117"/>
        <v>47.879999999999995</v>
      </c>
      <c r="I342" s="19"/>
      <c r="J342" s="19"/>
    </row>
    <row r="343" spans="1:10" x14ac:dyDescent="0.2">
      <c r="A343" s="17">
        <v>16</v>
      </c>
      <c r="B343" s="18" t="s">
        <v>358</v>
      </c>
      <c r="C343" s="45" t="s">
        <v>16</v>
      </c>
      <c r="D343" s="45" t="s">
        <v>42</v>
      </c>
      <c r="E343" s="17"/>
      <c r="F343" s="19">
        <v>85</v>
      </c>
      <c r="G343" s="20">
        <v>20</v>
      </c>
      <c r="H343" s="19">
        <f t="shared" si="117"/>
        <v>102</v>
      </c>
      <c r="I343" s="19"/>
      <c r="J343" s="19"/>
    </row>
    <row r="344" spans="1:10" x14ac:dyDescent="0.2">
      <c r="A344" s="99" t="s">
        <v>163</v>
      </c>
      <c r="B344" s="100"/>
      <c r="C344" s="100"/>
      <c r="D344" s="100"/>
      <c r="E344" s="100"/>
      <c r="F344" s="100"/>
      <c r="G344" s="100"/>
      <c r="H344" s="100"/>
      <c r="I344" s="55"/>
      <c r="J344" s="20"/>
    </row>
    <row r="345" spans="1:10" x14ac:dyDescent="0.2">
      <c r="A345" s="17">
        <v>1</v>
      </c>
      <c r="B345" s="18" t="s">
        <v>162</v>
      </c>
      <c r="C345" s="45" t="s">
        <v>83</v>
      </c>
      <c r="D345" s="45" t="s">
        <v>164</v>
      </c>
      <c r="E345" s="17">
        <v>12</v>
      </c>
      <c r="F345" s="16">
        <v>14.9</v>
      </c>
      <c r="G345" s="20">
        <v>20</v>
      </c>
      <c r="H345" s="41">
        <f t="shared" ref="H345" si="118">F345*1.2</f>
        <v>17.88</v>
      </c>
      <c r="I345" s="41"/>
      <c r="J345" s="20"/>
    </row>
    <row r="346" spans="1:10" x14ac:dyDescent="0.2">
      <c r="A346" s="17">
        <v>2</v>
      </c>
      <c r="B346" s="18" t="s">
        <v>168</v>
      </c>
      <c r="C346" s="45" t="s">
        <v>83</v>
      </c>
      <c r="D346" s="45" t="s">
        <v>164</v>
      </c>
      <c r="E346" s="17">
        <v>12</v>
      </c>
      <c r="F346" s="16">
        <v>16.899999999999999</v>
      </c>
      <c r="G346" s="20">
        <v>20</v>
      </c>
      <c r="H346" s="41">
        <f t="shared" ref="H346" si="119">F346*1.2</f>
        <v>20.279999999999998</v>
      </c>
      <c r="I346" s="41"/>
      <c r="J346" s="20"/>
    </row>
    <row r="347" spans="1:10" x14ac:dyDescent="0.2">
      <c r="A347" s="99" t="s">
        <v>69</v>
      </c>
      <c r="B347" s="100"/>
      <c r="C347" s="100"/>
      <c r="D347" s="100"/>
      <c r="E347" s="100"/>
      <c r="F347" s="100"/>
      <c r="G347" s="100"/>
      <c r="H347" s="100"/>
      <c r="I347" s="55"/>
      <c r="J347" s="20"/>
    </row>
    <row r="348" spans="1:10" x14ac:dyDescent="0.2">
      <c r="A348" s="17">
        <v>1</v>
      </c>
      <c r="B348" s="1" t="s">
        <v>452</v>
      </c>
      <c r="C348" s="17" t="s">
        <v>20</v>
      </c>
      <c r="D348" s="17" t="s">
        <v>49</v>
      </c>
      <c r="E348" s="17">
        <v>10</v>
      </c>
      <c r="F348" s="16">
        <v>6.5</v>
      </c>
      <c r="G348" s="20">
        <v>20</v>
      </c>
      <c r="H348" s="41">
        <f t="shared" ref="H348:H349" si="120">F348*1.2</f>
        <v>7.8</v>
      </c>
      <c r="I348" s="41"/>
      <c r="J348" s="20"/>
    </row>
    <row r="349" spans="1:10" x14ac:dyDescent="0.2">
      <c r="A349" s="17">
        <v>2</v>
      </c>
      <c r="B349" s="18" t="s">
        <v>128</v>
      </c>
      <c r="C349" s="45" t="s">
        <v>15</v>
      </c>
      <c r="D349" s="45" t="s">
        <v>49</v>
      </c>
      <c r="E349" s="17">
        <v>10</v>
      </c>
      <c r="F349" s="16">
        <v>19.5</v>
      </c>
      <c r="G349" s="20">
        <v>20</v>
      </c>
      <c r="H349" s="41">
        <f t="shared" si="120"/>
        <v>23.4</v>
      </c>
      <c r="I349" s="41"/>
      <c r="J349" s="20"/>
    </row>
    <row r="350" spans="1:10" x14ac:dyDescent="0.2">
      <c r="A350" s="17">
        <v>3</v>
      </c>
      <c r="B350" s="30" t="s">
        <v>507</v>
      </c>
      <c r="C350" s="45" t="s">
        <v>17</v>
      </c>
      <c r="D350" s="45" t="s">
        <v>26</v>
      </c>
      <c r="E350" s="17">
        <v>8</v>
      </c>
      <c r="F350" s="16">
        <v>4.95</v>
      </c>
      <c r="G350" s="20">
        <v>20</v>
      </c>
      <c r="H350" s="41">
        <v>5.4</v>
      </c>
      <c r="I350" s="41"/>
      <c r="J350" s="20"/>
    </row>
    <row r="351" spans="1:10" x14ac:dyDescent="0.2">
      <c r="A351" s="17">
        <v>4</v>
      </c>
      <c r="B351" s="30" t="s">
        <v>506</v>
      </c>
      <c r="C351" s="45" t="s">
        <v>20</v>
      </c>
      <c r="D351" s="45" t="s">
        <v>26</v>
      </c>
      <c r="E351" s="17">
        <v>6</v>
      </c>
      <c r="F351" s="16">
        <v>22.9</v>
      </c>
      <c r="G351" s="20">
        <v>20</v>
      </c>
      <c r="H351" s="41">
        <v>27.479999999999997</v>
      </c>
      <c r="I351" s="41"/>
      <c r="J351" s="20"/>
    </row>
    <row r="352" spans="1:10" x14ac:dyDescent="0.2">
      <c r="A352" s="17">
        <v>5</v>
      </c>
      <c r="B352" s="30" t="s">
        <v>98</v>
      </c>
      <c r="C352" s="45" t="s">
        <v>20</v>
      </c>
      <c r="D352" s="45" t="s">
        <v>26</v>
      </c>
      <c r="E352" s="17">
        <v>24</v>
      </c>
      <c r="F352" s="16">
        <v>2.8</v>
      </c>
      <c r="G352" s="20">
        <v>20</v>
      </c>
      <c r="H352" s="41">
        <v>3.36</v>
      </c>
      <c r="I352" s="41"/>
      <c r="J352" s="20"/>
    </row>
    <row r="353" spans="1:10" x14ac:dyDescent="0.2">
      <c r="A353" s="17">
        <v>6</v>
      </c>
      <c r="B353" s="1" t="s">
        <v>91</v>
      </c>
      <c r="C353" s="4" t="s">
        <v>20</v>
      </c>
      <c r="D353" s="4" t="s">
        <v>25</v>
      </c>
      <c r="E353" s="17">
        <v>12</v>
      </c>
      <c r="F353" s="19">
        <v>4.9000000000000004</v>
      </c>
      <c r="G353" s="8">
        <v>20</v>
      </c>
      <c r="H353" s="41">
        <f t="shared" ref="H353:H356" si="121">F353*G353/100+F353</f>
        <v>5.8800000000000008</v>
      </c>
      <c r="I353" s="41"/>
      <c r="J353" s="20"/>
    </row>
    <row r="354" spans="1:10" x14ac:dyDescent="0.2">
      <c r="A354" s="17">
        <v>7</v>
      </c>
      <c r="B354" s="18" t="s">
        <v>188</v>
      </c>
      <c r="C354" s="4" t="s">
        <v>20</v>
      </c>
      <c r="D354" s="4" t="s">
        <v>25</v>
      </c>
      <c r="E354" s="17">
        <v>12</v>
      </c>
      <c r="F354" s="19">
        <v>8.6999999999999993</v>
      </c>
      <c r="G354" s="8">
        <v>20</v>
      </c>
      <c r="H354" s="41">
        <f t="shared" si="121"/>
        <v>10.44</v>
      </c>
      <c r="I354" s="41"/>
      <c r="J354" s="20"/>
    </row>
    <row r="355" spans="1:10" x14ac:dyDescent="0.2">
      <c r="A355" s="17">
        <v>8</v>
      </c>
      <c r="B355" s="18" t="s">
        <v>242</v>
      </c>
      <c r="C355" s="4" t="s">
        <v>16</v>
      </c>
      <c r="D355" s="4" t="s">
        <v>25</v>
      </c>
      <c r="E355" s="17">
        <v>12</v>
      </c>
      <c r="F355" s="19">
        <v>13.19</v>
      </c>
      <c r="G355" s="8">
        <v>20</v>
      </c>
      <c r="H355" s="41">
        <f t="shared" si="121"/>
        <v>15.827999999999999</v>
      </c>
      <c r="I355" s="41"/>
      <c r="J355" s="20"/>
    </row>
    <row r="356" spans="1:10" x14ac:dyDescent="0.2">
      <c r="A356" s="17">
        <v>9</v>
      </c>
      <c r="B356" s="18" t="s">
        <v>456</v>
      </c>
      <c r="C356" s="4" t="s">
        <v>20</v>
      </c>
      <c r="D356" s="4" t="s">
        <v>25</v>
      </c>
      <c r="E356" s="17">
        <v>12</v>
      </c>
      <c r="F356" s="19">
        <v>4</v>
      </c>
      <c r="G356" s="8">
        <v>20</v>
      </c>
      <c r="H356" s="41">
        <f t="shared" si="121"/>
        <v>4.8</v>
      </c>
      <c r="I356" s="41"/>
      <c r="J356" s="20"/>
    </row>
    <row r="357" spans="1:10" x14ac:dyDescent="0.2">
      <c r="A357" s="17">
        <v>10</v>
      </c>
      <c r="B357" s="18" t="s">
        <v>252</v>
      </c>
      <c r="C357" s="4" t="s">
        <v>20</v>
      </c>
      <c r="D357" s="4" t="s">
        <v>49</v>
      </c>
      <c r="E357" s="17">
        <v>12</v>
      </c>
      <c r="F357" s="19">
        <v>29.9</v>
      </c>
      <c r="G357" s="8">
        <v>20</v>
      </c>
      <c r="H357" s="41">
        <f t="shared" ref="H357" si="122">F357*G357/100+F357</f>
        <v>35.879999999999995</v>
      </c>
      <c r="I357" s="41"/>
      <c r="J357" s="20"/>
    </row>
    <row r="358" spans="1:10" ht="15.75" customHeight="1" x14ac:dyDescent="0.2">
      <c r="A358" s="99" t="s">
        <v>108</v>
      </c>
      <c r="B358" s="100"/>
      <c r="C358" s="100"/>
      <c r="D358" s="100"/>
      <c r="E358" s="100"/>
      <c r="F358" s="100"/>
      <c r="G358" s="100"/>
      <c r="H358" s="100"/>
      <c r="I358" s="55"/>
      <c r="J358" s="20"/>
    </row>
    <row r="359" spans="1:10" x14ac:dyDescent="0.2">
      <c r="A359" s="17">
        <v>1</v>
      </c>
      <c r="B359" s="1" t="s">
        <v>131</v>
      </c>
      <c r="C359" s="45" t="s">
        <v>83</v>
      </c>
      <c r="D359" s="17" t="s">
        <v>49</v>
      </c>
      <c r="E359" s="17">
        <v>10</v>
      </c>
      <c r="F359" s="16">
        <v>7.45</v>
      </c>
      <c r="G359" s="20">
        <v>10</v>
      </c>
      <c r="H359" s="41">
        <f t="shared" ref="H359" si="123">F359*1.1</f>
        <v>8.1950000000000003</v>
      </c>
      <c r="I359" s="41"/>
      <c r="J359" s="20"/>
    </row>
    <row r="360" spans="1:10" x14ac:dyDescent="0.2">
      <c r="A360" s="17">
        <v>2</v>
      </c>
      <c r="B360" s="1" t="s">
        <v>197</v>
      </c>
      <c r="C360" s="45" t="s">
        <v>83</v>
      </c>
      <c r="D360" s="17" t="s">
        <v>49</v>
      </c>
      <c r="E360" s="17">
        <v>10</v>
      </c>
      <c r="F360" s="16">
        <v>8.1999999999999993</v>
      </c>
      <c r="G360" s="20">
        <v>10</v>
      </c>
      <c r="H360" s="41">
        <f t="shared" ref="H360" si="124">F360*1.1</f>
        <v>9.02</v>
      </c>
      <c r="I360" s="41"/>
      <c r="J360" s="20"/>
    </row>
    <row r="361" spans="1:10" ht="12.75" customHeight="1" x14ac:dyDescent="0.2">
      <c r="A361" s="17">
        <v>3</v>
      </c>
      <c r="B361" s="1" t="s">
        <v>106</v>
      </c>
      <c r="C361" s="45" t="s">
        <v>83</v>
      </c>
      <c r="D361" s="17" t="s">
        <v>49</v>
      </c>
      <c r="E361" s="17">
        <v>10</v>
      </c>
      <c r="F361" s="16">
        <v>4.5</v>
      </c>
      <c r="G361" s="20">
        <v>20</v>
      </c>
      <c r="H361" s="41">
        <f t="shared" ref="H361" si="125">F361*1.1</f>
        <v>4.95</v>
      </c>
      <c r="I361" s="41"/>
      <c r="J361" s="20"/>
    </row>
    <row r="362" spans="1:10" ht="12.75" customHeight="1" x14ac:dyDescent="0.2">
      <c r="A362" s="17">
        <v>4</v>
      </c>
      <c r="B362" s="1" t="s">
        <v>300</v>
      </c>
      <c r="C362" s="45" t="s">
        <v>83</v>
      </c>
      <c r="D362" s="17" t="s">
        <v>49</v>
      </c>
      <c r="E362" s="17">
        <v>10</v>
      </c>
      <c r="F362" s="16">
        <v>8.6</v>
      </c>
      <c r="G362" s="20">
        <v>20</v>
      </c>
      <c r="H362" s="41">
        <f t="shared" ref="H362:H363" si="126">F362*1.1</f>
        <v>9.4600000000000009</v>
      </c>
      <c r="I362" s="41"/>
      <c r="J362" s="64" t="s">
        <v>304</v>
      </c>
    </row>
    <row r="363" spans="1:10" ht="12.75" customHeight="1" x14ac:dyDescent="0.2">
      <c r="A363" s="17">
        <v>5</v>
      </c>
      <c r="B363" s="1" t="s">
        <v>301</v>
      </c>
      <c r="C363" s="45" t="s">
        <v>83</v>
      </c>
      <c r="D363" s="17" t="s">
        <v>49</v>
      </c>
      <c r="E363" s="17">
        <v>10</v>
      </c>
      <c r="F363" s="16">
        <v>8.6</v>
      </c>
      <c r="G363" s="20">
        <v>20</v>
      </c>
      <c r="H363" s="41">
        <f t="shared" si="126"/>
        <v>9.4600000000000009</v>
      </c>
      <c r="I363" s="41"/>
      <c r="J363" s="64" t="s">
        <v>305</v>
      </c>
    </row>
    <row r="364" spans="1:10" x14ac:dyDescent="0.2">
      <c r="A364" s="17">
        <v>6</v>
      </c>
      <c r="B364" s="1" t="s">
        <v>166</v>
      </c>
      <c r="C364" s="45" t="s">
        <v>83</v>
      </c>
      <c r="D364" s="17" t="s">
        <v>49</v>
      </c>
      <c r="E364" s="17">
        <v>1</v>
      </c>
      <c r="F364" s="16">
        <v>17.5</v>
      </c>
      <c r="G364" s="20">
        <v>10</v>
      </c>
      <c r="H364" s="41">
        <f t="shared" ref="H364" si="127">F364*1.1</f>
        <v>19.25</v>
      </c>
      <c r="I364" s="41"/>
      <c r="J364" s="20"/>
    </row>
    <row r="365" spans="1:10" x14ac:dyDescent="0.2">
      <c r="A365" s="17">
        <v>7</v>
      </c>
      <c r="B365" s="1" t="s">
        <v>511</v>
      </c>
      <c r="C365" s="45" t="s">
        <v>83</v>
      </c>
      <c r="D365" s="17" t="s">
        <v>49</v>
      </c>
      <c r="E365" s="17">
        <v>1</v>
      </c>
      <c r="F365" s="16">
        <v>2.4</v>
      </c>
      <c r="G365" s="20">
        <v>10</v>
      </c>
      <c r="H365" s="41">
        <f t="shared" ref="H365" si="128">F365*1.1</f>
        <v>2.64</v>
      </c>
      <c r="I365" s="41"/>
      <c r="J365" s="64" t="s">
        <v>512</v>
      </c>
    </row>
    <row r="366" spans="1:10" x14ac:dyDescent="0.2">
      <c r="A366" s="17">
        <v>9</v>
      </c>
      <c r="B366" s="1" t="s">
        <v>178</v>
      </c>
      <c r="C366" s="45" t="s">
        <v>83</v>
      </c>
      <c r="D366" s="17" t="s">
        <v>49</v>
      </c>
      <c r="E366" s="17">
        <v>30</v>
      </c>
      <c r="F366" s="16">
        <v>2.8</v>
      </c>
      <c r="G366" s="20">
        <v>10</v>
      </c>
      <c r="H366" s="41">
        <f t="shared" ref="H366" si="129">F366*1.1</f>
        <v>3.08</v>
      </c>
      <c r="I366" s="41"/>
      <c r="J366" s="64" t="s">
        <v>516</v>
      </c>
    </row>
    <row r="367" spans="1:10" x14ac:dyDescent="0.2">
      <c r="A367" s="17">
        <v>10</v>
      </c>
      <c r="B367" s="1" t="s">
        <v>517</v>
      </c>
      <c r="C367" s="45" t="s">
        <v>83</v>
      </c>
      <c r="D367" s="17" t="s">
        <v>49</v>
      </c>
      <c r="E367" s="17">
        <v>30</v>
      </c>
      <c r="F367" s="16">
        <v>2.5499999999999998</v>
      </c>
      <c r="G367" s="20">
        <v>10</v>
      </c>
      <c r="H367" s="41">
        <f t="shared" ref="H367" si="130">F367*1.1</f>
        <v>2.8050000000000002</v>
      </c>
      <c r="I367" s="29"/>
      <c r="J367" s="20"/>
    </row>
    <row r="368" spans="1:10" ht="17.45" customHeight="1" x14ac:dyDescent="0.2">
      <c r="A368" s="46">
        <v>11</v>
      </c>
      <c r="B368" s="89" t="s">
        <v>641</v>
      </c>
      <c r="C368" s="79" t="s">
        <v>16</v>
      </c>
      <c r="D368" s="79" t="s">
        <v>610</v>
      </c>
      <c r="E368" s="80"/>
      <c r="F368" s="19">
        <v>15.5</v>
      </c>
      <c r="G368" s="20">
        <v>10</v>
      </c>
      <c r="H368" s="41">
        <f>F368*1.1</f>
        <v>17.05</v>
      </c>
      <c r="I368" s="29"/>
      <c r="J368" s="8"/>
    </row>
    <row r="369" spans="1:10" ht="15.75" customHeight="1" x14ac:dyDescent="0.2">
      <c r="A369" s="99" t="s">
        <v>232</v>
      </c>
      <c r="B369" s="100"/>
      <c r="C369" s="100"/>
      <c r="D369" s="100"/>
      <c r="E369" s="100"/>
      <c r="F369" s="100"/>
      <c r="G369" s="100"/>
      <c r="H369" s="100"/>
      <c r="I369" s="55"/>
      <c r="J369" s="20"/>
    </row>
    <row r="370" spans="1:10" x14ac:dyDescent="0.2">
      <c r="A370" s="17">
        <v>1</v>
      </c>
      <c r="B370" s="18" t="s">
        <v>125</v>
      </c>
      <c r="C370" s="45" t="s">
        <v>15</v>
      </c>
      <c r="D370" s="17" t="s">
        <v>50</v>
      </c>
      <c r="E370" s="17">
        <v>1</v>
      </c>
      <c r="F370" s="19">
        <v>57.9</v>
      </c>
      <c r="G370" s="20">
        <v>20</v>
      </c>
      <c r="H370" s="41">
        <f t="shared" ref="H370:H391" si="131">F370*1.2</f>
        <v>69.47999999999999</v>
      </c>
      <c r="I370" s="41"/>
      <c r="J370" s="20"/>
    </row>
    <row r="371" spans="1:10" x14ac:dyDescent="0.2">
      <c r="A371" s="17">
        <v>2</v>
      </c>
      <c r="B371" s="18" t="s">
        <v>124</v>
      </c>
      <c r="C371" s="45" t="s">
        <v>15</v>
      </c>
      <c r="D371" s="17" t="s">
        <v>50</v>
      </c>
      <c r="E371" s="17" t="s">
        <v>73</v>
      </c>
      <c r="F371" s="19">
        <v>44.9</v>
      </c>
      <c r="G371" s="20">
        <v>20</v>
      </c>
      <c r="H371" s="41">
        <f t="shared" si="131"/>
        <v>53.879999999999995</v>
      </c>
      <c r="I371" s="41"/>
      <c r="J371" s="20"/>
    </row>
    <row r="372" spans="1:10" x14ac:dyDescent="0.2">
      <c r="A372" s="17">
        <v>3</v>
      </c>
      <c r="B372" s="18" t="s">
        <v>126</v>
      </c>
      <c r="C372" s="45" t="s">
        <v>15</v>
      </c>
      <c r="D372" s="17" t="s">
        <v>50</v>
      </c>
      <c r="E372" s="17" t="s">
        <v>73</v>
      </c>
      <c r="F372" s="19">
        <v>59.9</v>
      </c>
      <c r="G372" s="20">
        <v>20</v>
      </c>
      <c r="H372" s="41">
        <f t="shared" si="131"/>
        <v>71.88</v>
      </c>
      <c r="I372" s="41"/>
      <c r="J372" s="20"/>
    </row>
    <row r="373" spans="1:10" x14ac:dyDescent="0.2">
      <c r="A373" s="17">
        <v>4</v>
      </c>
      <c r="B373" s="18" t="s">
        <v>179</v>
      </c>
      <c r="C373" s="45" t="s">
        <v>83</v>
      </c>
      <c r="D373" s="45" t="s">
        <v>149</v>
      </c>
      <c r="E373" s="17">
        <v>12</v>
      </c>
      <c r="F373" s="19">
        <v>4.6500000000000004</v>
      </c>
      <c r="G373" s="20">
        <v>20</v>
      </c>
      <c r="H373" s="41">
        <f t="shared" si="131"/>
        <v>5.58</v>
      </c>
      <c r="I373" s="41"/>
      <c r="J373" s="20"/>
    </row>
    <row r="374" spans="1:10" x14ac:dyDescent="0.2">
      <c r="A374" s="17">
        <v>5</v>
      </c>
      <c r="B374" s="18" t="s">
        <v>115</v>
      </c>
      <c r="C374" s="45" t="s">
        <v>15</v>
      </c>
      <c r="D374" s="45" t="s">
        <v>47</v>
      </c>
      <c r="E374" s="17">
        <v>6</v>
      </c>
      <c r="F374" s="19">
        <v>18.5</v>
      </c>
      <c r="G374" s="20">
        <v>20</v>
      </c>
      <c r="H374" s="41">
        <f t="shared" si="131"/>
        <v>22.2</v>
      </c>
      <c r="I374" s="41"/>
      <c r="J374" s="20"/>
    </row>
    <row r="375" spans="1:10" x14ac:dyDescent="0.2">
      <c r="A375" s="17">
        <v>6</v>
      </c>
      <c r="B375" s="18" t="s">
        <v>141</v>
      </c>
      <c r="C375" s="45" t="s">
        <v>15</v>
      </c>
      <c r="D375" s="45" t="s">
        <v>47</v>
      </c>
      <c r="E375" s="17">
        <v>7</v>
      </c>
      <c r="F375" s="19">
        <v>18.5</v>
      </c>
      <c r="G375" s="20">
        <v>20</v>
      </c>
      <c r="H375" s="41">
        <f t="shared" si="131"/>
        <v>22.2</v>
      </c>
      <c r="I375" s="41"/>
      <c r="J375" s="20"/>
    </row>
    <row r="376" spans="1:10" x14ac:dyDescent="0.2">
      <c r="A376" s="17">
        <v>7</v>
      </c>
      <c r="B376" s="18" t="s">
        <v>181</v>
      </c>
      <c r="C376" s="45" t="s">
        <v>15</v>
      </c>
      <c r="D376" s="45" t="s">
        <v>47</v>
      </c>
      <c r="E376" s="17">
        <v>6</v>
      </c>
      <c r="F376" s="19">
        <v>16.5</v>
      </c>
      <c r="G376" s="20">
        <v>20</v>
      </c>
      <c r="H376" s="41">
        <f t="shared" si="131"/>
        <v>19.8</v>
      </c>
      <c r="I376" s="41"/>
      <c r="J376" s="20"/>
    </row>
    <row r="377" spans="1:10" x14ac:dyDescent="0.2">
      <c r="A377" s="17">
        <v>8</v>
      </c>
      <c r="B377" s="18" t="s">
        <v>153</v>
      </c>
      <c r="C377" s="45" t="s">
        <v>15</v>
      </c>
      <c r="D377" s="45" t="s">
        <v>47</v>
      </c>
      <c r="E377" s="17">
        <v>6</v>
      </c>
      <c r="F377" s="19">
        <v>16.5</v>
      </c>
      <c r="G377" s="20">
        <v>20</v>
      </c>
      <c r="H377" s="41">
        <f t="shared" si="131"/>
        <v>19.8</v>
      </c>
      <c r="I377" s="41"/>
      <c r="J377" s="20"/>
    </row>
    <row r="378" spans="1:10" x14ac:dyDescent="0.2">
      <c r="A378" s="17">
        <v>9</v>
      </c>
      <c r="B378" s="18" t="s">
        <v>127</v>
      </c>
      <c r="C378" s="45" t="s">
        <v>15</v>
      </c>
      <c r="D378" s="45" t="s">
        <v>47</v>
      </c>
      <c r="E378" s="17">
        <v>6</v>
      </c>
      <c r="F378" s="19">
        <v>19.899999999999999</v>
      </c>
      <c r="G378" s="20">
        <v>20</v>
      </c>
      <c r="H378" s="41">
        <f t="shared" si="131"/>
        <v>23.88</v>
      </c>
      <c r="I378" s="41"/>
      <c r="J378" s="20"/>
    </row>
    <row r="379" spans="1:10" x14ac:dyDescent="0.2">
      <c r="A379" s="17">
        <v>10</v>
      </c>
      <c r="B379" s="18" t="s">
        <v>190</v>
      </c>
      <c r="C379" s="45" t="s">
        <v>83</v>
      </c>
      <c r="D379" s="45" t="s">
        <v>47</v>
      </c>
      <c r="E379" s="17">
        <v>6</v>
      </c>
      <c r="F379" s="19">
        <v>16.5</v>
      </c>
      <c r="G379" s="20">
        <v>20</v>
      </c>
      <c r="H379" s="41">
        <f t="shared" si="131"/>
        <v>19.8</v>
      </c>
      <c r="I379" s="41"/>
      <c r="J379" s="20"/>
    </row>
    <row r="380" spans="1:10" x14ac:dyDescent="0.2">
      <c r="A380" s="17">
        <v>11</v>
      </c>
      <c r="B380" s="34" t="s">
        <v>170</v>
      </c>
      <c r="C380" s="45" t="s">
        <v>15</v>
      </c>
      <c r="D380" s="45" t="s">
        <v>149</v>
      </c>
      <c r="E380" s="17">
        <v>6</v>
      </c>
      <c r="F380" s="19">
        <v>16.5</v>
      </c>
      <c r="G380" s="20">
        <v>20</v>
      </c>
      <c r="H380" s="41">
        <f t="shared" si="131"/>
        <v>19.8</v>
      </c>
      <c r="I380" s="41"/>
      <c r="J380" s="20"/>
    </row>
    <row r="381" spans="1:10" x14ac:dyDescent="0.2">
      <c r="A381" s="17">
        <v>13</v>
      </c>
      <c r="B381" s="34" t="s">
        <v>169</v>
      </c>
      <c r="C381" s="45" t="s">
        <v>15</v>
      </c>
      <c r="D381" s="45" t="s">
        <v>49</v>
      </c>
      <c r="E381" s="17">
        <v>12</v>
      </c>
      <c r="F381" s="19">
        <v>12.5</v>
      </c>
      <c r="G381" s="20">
        <v>20</v>
      </c>
      <c r="H381" s="41">
        <f t="shared" si="131"/>
        <v>15</v>
      </c>
      <c r="I381" s="41"/>
      <c r="J381" s="20"/>
    </row>
    <row r="382" spans="1:10" ht="12.75" customHeight="1" x14ac:dyDescent="0.2">
      <c r="A382" s="17">
        <v>14</v>
      </c>
      <c r="B382" s="18" t="s">
        <v>394</v>
      </c>
      <c r="C382" s="45" t="s">
        <v>15</v>
      </c>
      <c r="D382" s="45" t="s">
        <v>49</v>
      </c>
      <c r="E382" s="17">
        <v>20</v>
      </c>
      <c r="F382" s="19">
        <v>16.5</v>
      </c>
      <c r="G382" s="20">
        <v>20</v>
      </c>
      <c r="H382" s="41">
        <f t="shared" si="131"/>
        <v>19.8</v>
      </c>
      <c r="I382" s="41"/>
      <c r="J382" s="20"/>
    </row>
    <row r="383" spans="1:10" x14ac:dyDescent="0.2">
      <c r="A383" s="17">
        <v>18</v>
      </c>
      <c r="B383" s="18" t="s">
        <v>135</v>
      </c>
      <c r="C383" s="45" t="s">
        <v>112</v>
      </c>
      <c r="D383" s="45" t="s">
        <v>40</v>
      </c>
      <c r="E383" s="17">
        <v>6</v>
      </c>
      <c r="F383" s="19">
        <v>12.1</v>
      </c>
      <c r="G383" s="20">
        <v>20</v>
      </c>
      <c r="H383" s="41">
        <f t="shared" si="131"/>
        <v>14.52</v>
      </c>
      <c r="I383" s="41"/>
      <c r="J383" s="20"/>
    </row>
    <row r="384" spans="1:10" x14ac:dyDescent="0.2">
      <c r="A384" s="17">
        <v>19</v>
      </c>
      <c r="B384" s="18" t="s">
        <v>137</v>
      </c>
      <c r="C384" s="45" t="s">
        <v>112</v>
      </c>
      <c r="D384" s="45" t="s">
        <v>40</v>
      </c>
      <c r="E384" s="17">
        <v>6</v>
      </c>
      <c r="F384" s="19">
        <v>27.5</v>
      </c>
      <c r="G384" s="20">
        <v>20</v>
      </c>
      <c r="H384" s="41">
        <f t="shared" si="131"/>
        <v>33</v>
      </c>
      <c r="I384" s="41"/>
      <c r="J384" s="20"/>
    </row>
    <row r="385" spans="1:10" x14ac:dyDescent="0.2">
      <c r="A385" s="17">
        <v>20</v>
      </c>
      <c r="B385" s="18" t="s">
        <v>136</v>
      </c>
      <c r="C385" s="45" t="s">
        <v>112</v>
      </c>
      <c r="D385" s="45" t="s">
        <v>40</v>
      </c>
      <c r="E385" s="17">
        <v>6</v>
      </c>
      <c r="F385" s="19">
        <v>12.1</v>
      </c>
      <c r="G385" s="20">
        <v>20</v>
      </c>
      <c r="H385" s="41">
        <f t="shared" si="131"/>
        <v>14.52</v>
      </c>
      <c r="I385" s="41"/>
      <c r="J385" s="20"/>
    </row>
    <row r="386" spans="1:10" x14ac:dyDescent="0.2">
      <c r="A386" s="17">
        <v>21</v>
      </c>
      <c r="B386" s="18" t="s">
        <v>133</v>
      </c>
      <c r="C386" s="45" t="s">
        <v>112</v>
      </c>
      <c r="D386" s="45" t="s">
        <v>40</v>
      </c>
      <c r="E386" s="17">
        <v>6</v>
      </c>
      <c r="F386" s="19">
        <v>12.1</v>
      </c>
      <c r="G386" s="20">
        <v>20</v>
      </c>
      <c r="H386" s="41">
        <f t="shared" si="131"/>
        <v>14.52</v>
      </c>
      <c r="I386" s="41"/>
      <c r="J386" s="8"/>
    </row>
    <row r="387" spans="1:10" x14ac:dyDescent="0.2">
      <c r="A387" s="17">
        <v>22</v>
      </c>
      <c r="B387" s="18" t="s">
        <v>134</v>
      </c>
      <c r="C387" s="45" t="s">
        <v>112</v>
      </c>
      <c r="D387" s="45" t="s">
        <v>40</v>
      </c>
      <c r="E387" s="17">
        <v>6</v>
      </c>
      <c r="F387" s="19">
        <v>14.9</v>
      </c>
      <c r="G387" s="20">
        <v>20</v>
      </c>
      <c r="H387" s="41">
        <f t="shared" si="131"/>
        <v>17.88</v>
      </c>
      <c r="I387" s="41"/>
      <c r="J387" s="8"/>
    </row>
    <row r="388" spans="1:10" x14ac:dyDescent="0.2">
      <c r="A388" s="17">
        <v>23</v>
      </c>
      <c r="B388" s="18" t="s">
        <v>107</v>
      </c>
      <c r="C388" s="45" t="s">
        <v>20</v>
      </c>
      <c r="D388" s="45" t="s">
        <v>47</v>
      </c>
      <c r="E388" s="17">
        <v>12</v>
      </c>
      <c r="F388" s="19">
        <v>11.3</v>
      </c>
      <c r="G388" s="20">
        <v>20</v>
      </c>
      <c r="H388" s="41">
        <f t="shared" si="131"/>
        <v>13.56</v>
      </c>
      <c r="I388" s="41"/>
      <c r="J388" s="76" t="s">
        <v>454</v>
      </c>
    </row>
    <row r="389" spans="1:10" x14ac:dyDescent="0.2">
      <c r="A389" s="17">
        <v>24</v>
      </c>
      <c r="B389" s="18" t="s">
        <v>130</v>
      </c>
      <c r="C389" s="45" t="s">
        <v>20</v>
      </c>
      <c r="D389" s="45" t="s">
        <v>47</v>
      </c>
      <c r="E389" s="17">
        <v>12</v>
      </c>
      <c r="F389" s="19">
        <v>15.9</v>
      </c>
      <c r="G389" s="20">
        <v>20</v>
      </c>
      <c r="H389" s="41">
        <f t="shared" si="131"/>
        <v>19.079999999999998</v>
      </c>
      <c r="I389" s="41"/>
      <c r="J389" s="76" t="s">
        <v>455</v>
      </c>
    </row>
    <row r="390" spans="1:10" x14ac:dyDescent="0.2">
      <c r="A390" s="17">
        <v>25</v>
      </c>
      <c r="B390" s="18" t="s">
        <v>285</v>
      </c>
      <c r="C390" s="45" t="s">
        <v>154</v>
      </c>
      <c r="D390" s="45" t="s">
        <v>47</v>
      </c>
      <c r="E390" s="17">
        <v>12</v>
      </c>
      <c r="F390" s="19">
        <v>10.3</v>
      </c>
      <c r="G390" s="20">
        <v>20</v>
      </c>
      <c r="H390" s="41">
        <f t="shared" si="131"/>
        <v>12.360000000000001</v>
      </c>
      <c r="I390" s="41"/>
      <c r="J390" s="8">
        <v>8934637514673</v>
      </c>
    </row>
    <row r="391" spans="1:10" x14ac:dyDescent="0.2">
      <c r="A391" s="17">
        <v>26</v>
      </c>
      <c r="B391" s="18" t="s">
        <v>111</v>
      </c>
      <c r="C391" s="45" t="s">
        <v>21</v>
      </c>
      <c r="D391" s="45" t="s">
        <v>41</v>
      </c>
      <c r="E391" s="17">
        <v>12</v>
      </c>
      <c r="F391" s="19">
        <v>5.3</v>
      </c>
      <c r="G391" s="20">
        <v>20</v>
      </c>
      <c r="H391" s="41">
        <f t="shared" si="131"/>
        <v>6.3599999999999994</v>
      </c>
      <c r="I391" s="41"/>
      <c r="J391" s="8">
        <v>4620749685274</v>
      </c>
    </row>
    <row r="392" spans="1:10" x14ac:dyDescent="0.2">
      <c r="A392" s="17">
        <v>27</v>
      </c>
      <c r="B392" s="18" t="s">
        <v>611</v>
      </c>
      <c r="C392" s="45" t="s">
        <v>21</v>
      </c>
      <c r="D392" s="45" t="s">
        <v>41</v>
      </c>
      <c r="E392" s="17">
        <v>12</v>
      </c>
      <c r="F392" s="19">
        <v>6.2</v>
      </c>
      <c r="G392" s="20">
        <v>20</v>
      </c>
      <c r="H392" s="41">
        <f t="shared" ref="H392" si="132">F392*1.2</f>
        <v>7.4399999999999995</v>
      </c>
      <c r="I392" s="41"/>
      <c r="J392" s="8"/>
    </row>
    <row r="393" spans="1:10" x14ac:dyDescent="0.2">
      <c r="A393" s="17">
        <v>26</v>
      </c>
      <c r="B393" s="18" t="s">
        <v>594</v>
      </c>
      <c r="C393" s="45"/>
      <c r="D393" s="45"/>
      <c r="E393" s="17"/>
      <c r="F393" s="19">
        <v>4.8</v>
      </c>
      <c r="G393" s="20">
        <v>20</v>
      </c>
      <c r="H393" s="41">
        <f t="shared" ref="H393" si="133">F393*1.2</f>
        <v>5.76</v>
      </c>
      <c r="I393" s="41"/>
      <c r="J393" s="8"/>
    </row>
    <row r="394" spans="1:10" x14ac:dyDescent="0.2">
      <c r="A394" s="17">
        <v>27</v>
      </c>
      <c r="B394" s="88" t="s">
        <v>636</v>
      </c>
      <c r="C394" s="45" t="s">
        <v>21</v>
      </c>
      <c r="D394" s="45" t="s">
        <v>40</v>
      </c>
      <c r="E394" s="17">
        <v>12</v>
      </c>
      <c r="F394" s="19">
        <v>12.9</v>
      </c>
      <c r="G394" s="20">
        <v>20</v>
      </c>
      <c r="H394" s="41">
        <f t="shared" ref="H394:H397" si="134">F394*1.2</f>
        <v>15.48</v>
      </c>
      <c r="I394" s="41"/>
      <c r="J394" s="8">
        <v>8854291005518</v>
      </c>
    </row>
    <row r="395" spans="1:10" x14ac:dyDescent="0.2">
      <c r="A395" s="17">
        <v>30</v>
      </c>
      <c r="B395" s="88" t="s">
        <v>637</v>
      </c>
      <c r="C395" s="45" t="s">
        <v>21</v>
      </c>
      <c r="D395" s="45" t="s">
        <v>40</v>
      </c>
      <c r="E395" s="17">
        <v>12</v>
      </c>
      <c r="F395" s="19">
        <v>7.2</v>
      </c>
      <c r="G395" s="20">
        <v>20</v>
      </c>
      <c r="H395" s="41">
        <f t="shared" ref="H395" si="135">F395*1.2</f>
        <v>8.64</v>
      </c>
      <c r="I395" s="41"/>
      <c r="J395" s="8">
        <v>8854291005525</v>
      </c>
    </row>
    <row r="396" spans="1:10" x14ac:dyDescent="0.2">
      <c r="A396" s="17">
        <v>28</v>
      </c>
      <c r="B396" s="88" t="s">
        <v>638</v>
      </c>
      <c r="C396" s="45" t="s">
        <v>21</v>
      </c>
      <c r="D396" s="45" t="s">
        <v>40</v>
      </c>
      <c r="E396" s="17">
        <v>12</v>
      </c>
      <c r="F396" s="19">
        <v>10.9</v>
      </c>
      <c r="G396" s="20">
        <v>20</v>
      </c>
      <c r="H396" s="41">
        <f t="shared" si="134"/>
        <v>13.08</v>
      </c>
      <c r="I396" s="41"/>
      <c r="J396" s="8">
        <v>8854291005556</v>
      </c>
    </row>
    <row r="397" spans="1:10" x14ac:dyDescent="0.2">
      <c r="A397" s="17">
        <v>29</v>
      </c>
      <c r="B397" s="88" t="s">
        <v>639</v>
      </c>
      <c r="C397" s="45" t="s">
        <v>21</v>
      </c>
      <c r="D397" s="45" t="s">
        <v>40</v>
      </c>
      <c r="E397" s="17">
        <v>12</v>
      </c>
      <c r="F397" s="19">
        <v>6.5</v>
      </c>
      <c r="G397" s="20">
        <v>20</v>
      </c>
      <c r="H397" s="41">
        <f t="shared" si="134"/>
        <v>7.8</v>
      </c>
      <c r="I397" s="41"/>
      <c r="J397" s="8">
        <v>8854291005532</v>
      </c>
    </row>
    <row r="398" spans="1:10" x14ac:dyDescent="0.2">
      <c r="A398" s="46">
        <v>31</v>
      </c>
      <c r="B398" s="30" t="s">
        <v>647</v>
      </c>
      <c r="C398" s="79" t="s">
        <v>20</v>
      </c>
      <c r="D398" s="79" t="s">
        <v>610</v>
      </c>
      <c r="E398" s="80">
        <v>50</v>
      </c>
      <c r="F398" s="19">
        <v>6.9</v>
      </c>
      <c r="G398" s="20">
        <v>20</v>
      </c>
      <c r="H398" s="41">
        <f t="shared" ref="H398" si="136">F398*1.2</f>
        <v>8.2799999999999994</v>
      </c>
      <c r="I398" s="29"/>
      <c r="J398" s="8"/>
    </row>
    <row r="399" spans="1:10" x14ac:dyDescent="0.2">
      <c r="A399" s="17">
        <v>33</v>
      </c>
      <c r="B399" s="89" t="s">
        <v>642</v>
      </c>
      <c r="C399" s="79" t="s">
        <v>20</v>
      </c>
      <c r="D399" s="45" t="s">
        <v>40</v>
      </c>
      <c r="E399" s="80"/>
      <c r="F399" s="19">
        <v>9.5</v>
      </c>
      <c r="G399" s="20">
        <v>20</v>
      </c>
      <c r="H399" s="41">
        <f t="shared" ref="H399:H403" si="137">F399*1.2</f>
        <v>11.4</v>
      </c>
      <c r="I399" s="29"/>
      <c r="J399" s="8"/>
    </row>
    <row r="400" spans="1:10" x14ac:dyDescent="0.2">
      <c r="A400" s="46">
        <v>35</v>
      </c>
      <c r="B400" s="89" t="s">
        <v>643</v>
      </c>
      <c r="C400" s="79" t="s">
        <v>20</v>
      </c>
      <c r="D400" s="45" t="s">
        <v>40</v>
      </c>
      <c r="E400" s="80"/>
      <c r="F400" s="19">
        <v>12.3</v>
      </c>
      <c r="G400" s="20"/>
      <c r="H400" s="41">
        <f t="shared" si="137"/>
        <v>14.76</v>
      </c>
      <c r="I400" s="29"/>
      <c r="J400" s="8"/>
    </row>
    <row r="401" spans="1:10" x14ac:dyDescent="0.2">
      <c r="A401" s="17">
        <v>37</v>
      </c>
      <c r="B401" s="89" t="s">
        <v>644</v>
      </c>
      <c r="C401" s="79" t="s">
        <v>20</v>
      </c>
      <c r="D401" s="45" t="s">
        <v>40</v>
      </c>
      <c r="E401" s="80"/>
      <c r="F401" s="19">
        <v>15.2</v>
      </c>
      <c r="G401" s="20">
        <v>20</v>
      </c>
      <c r="H401" s="41">
        <f t="shared" si="137"/>
        <v>18.239999999999998</v>
      </c>
      <c r="I401" s="29"/>
      <c r="J401" s="8"/>
    </row>
    <row r="402" spans="1:10" x14ac:dyDescent="0.2">
      <c r="A402" s="46">
        <v>39</v>
      </c>
      <c r="B402" s="89" t="s">
        <v>645</v>
      </c>
      <c r="C402" s="79" t="s">
        <v>20</v>
      </c>
      <c r="D402" s="45" t="s">
        <v>40</v>
      </c>
      <c r="E402" s="80"/>
      <c r="F402" s="19">
        <v>4.45</v>
      </c>
      <c r="G402" s="20">
        <v>20</v>
      </c>
      <c r="H402" s="41">
        <f t="shared" si="137"/>
        <v>5.34</v>
      </c>
      <c r="I402" s="29"/>
      <c r="J402" s="8"/>
    </row>
    <row r="403" spans="1:10" x14ac:dyDescent="0.2">
      <c r="A403" s="17">
        <v>41</v>
      </c>
      <c r="B403" s="89" t="s">
        <v>646</v>
      </c>
      <c r="C403" s="79" t="s">
        <v>20</v>
      </c>
      <c r="D403" s="45" t="s">
        <v>40</v>
      </c>
      <c r="E403" s="80"/>
      <c r="F403" s="19">
        <v>4.45</v>
      </c>
      <c r="G403" s="20">
        <v>20</v>
      </c>
      <c r="H403" s="41">
        <f t="shared" si="137"/>
        <v>5.34</v>
      </c>
      <c r="I403" s="29"/>
      <c r="J403" s="8"/>
    </row>
    <row r="404" spans="1:10" ht="15.75" customHeight="1" x14ac:dyDescent="0.2">
      <c r="A404" s="99" t="s">
        <v>521</v>
      </c>
      <c r="B404" s="100"/>
      <c r="C404" s="100"/>
      <c r="D404" s="100"/>
      <c r="E404" s="100"/>
      <c r="F404" s="100"/>
      <c r="G404" s="100"/>
      <c r="H404" s="100"/>
      <c r="I404" s="55"/>
      <c r="J404" s="20"/>
    </row>
    <row r="405" spans="1:10" x14ac:dyDescent="0.2">
      <c r="A405" s="17">
        <v>1</v>
      </c>
      <c r="B405" s="3" t="s">
        <v>522</v>
      </c>
      <c r="C405" s="45" t="s">
        <v>15</v>
      </c>
      <c r="D405" s="45" t="s">
        <v>267</v>
      </c>
      <c r="E405" s="17">
        <v>6</v>
      </c>
      <c r="F405" s="35">
        <v>4.5</v>
      </c>
      <c r="G405" s="20">
        <v>20</v>
      </c>
      <c r="H405" s="41">
        <f t="shared" ref="H405:H434" si="138">F405*1.2</f>
        <v>5.3999999999999995</v>
      </c>
      <c r="I405" s="41"/>
      <c r="J405" s="64" t="s">
        <v>303</v>
      </c>
    </row>
    <row r="406" spans="1:10" x14ac:dyDescent="0.2">
      <c r="A406" s="17">
        <v>2</v>
      </c>
      <c r="B406" s="3" t="s">
        <v>523</v>
      </c>
      <c r="C406" s="45" t="s">
        <v>15</v>
      </c>
      <c r="D406" s="45" t="s">
        <v>47</v>
      </c>
      <c r="E406" s="17">
        <v>6</v>
      </c>
      <c r="F406" s="35">
        <v>9.5</v>
      </c>
      <c r="G406" s="20">
        <v>20</v>
      </c>
      <c r="H406" s="41">
        <f t="shared" si="138"/>
        <v>11.4</v>
      </c>
      <c r="I406" s="41"/>
      <c r="J406" s="8">
        <v>4660136780779</v>
      </c>
    </row>
    <row r="407" spans="1:10" x14ac:dyDescent="0.2">
      <c r="A407" s="17">
        <v>3</v>
      </c>
      <c r="B407" s="36" t="s">
        <v>524</v>
      </c>
      <c r="C407" s="45" t="s">
        <v>15</v>
      </c>
      <c r="D407" s="45" t="s">
        <v>251</v>
      </c>
      <c r="E407" s="17">
        <v>14</v>
      </c>
      <c r="F407" s="35">
        <v>4.1500000000000004</v>
      </c>
      <c r="G407" s="20">
        <v>20</v>
      </c>
      <c r="H407" s="41">
        <f t="shared" si="138"/>
        <v>4.9800000000000004</v>
      </c>
      <c r="I407" s="41"/>
      <c r="J407" s="8">
        <v>4660136782100</v>
      </c>
    </row>
    <row r="408" spans="1:10" x14ac:dyDescent="0.2">
      <c r="A408" s="17">
        <v>4</v>
      </c>
      <c r="B408" s="36" t="s">
        <v>525</v>
      </c>
      <c r="C408" s="45" t="s">
        <v>15</v>
      </c>
      <c r="D408" s="45" t="s">
        <v>251</v>
      </c>
      <c r="E408" s="17">
        <v>14</v>
      </c>
      <c r="F408" s="35">
        <v>7.5</v>
      </c>
      <c r="G408" s="20">
        <v>20</v>
      </c>
      <c r="H408" s="41">
        <f t="shared" si="138"/>
        <v>9</v>
      </c>
      <c r="I408" s="41"/>
      <c r="J408" s="8">
        <v>4660136781820</v>
      </c>
    </row>
    <row r="409" spans="1:10" x14ac:dyDescent="0.2">
      <c r="A409" s="17">
        <v>5</v>
      </c>
      <c r="B409" s="36" t="s">
        <v>526</v>
      </c>
      <c r="C409" s="45" t="s">
        <v>15</v>
      </c>
      <c r="D409" s="45" t="s">
        <v>251</v>
      </c>
      <c r="E409" s="17">
        <v>14</v>
      </c>
      <c r="F409" s="35">
        <v>3.5</v>
      </c>
      <c r="G409" s="20">
        <v>20</v>
      </c>
      <c r="H409" s="41">
        <f t="shared" si="138"/>
        <v>4.2</v>
      </c>
      <c r="I409" s="41"/>
      <c r="J409" s="8">
        <v>4660136782773</v>
      </c>
    </row>
    <row r="410" spans="1:10" x14ac:dyDescent="0.2">
      <c r="A410" s="17">
        <v>6</v>
      </c>
      <c r="B410" s="36" t="s">
        <v>527</v>
      </c>
      <c r="C410" s="45" t="s">
        <v>15</v>
      </c>
      <c r="D410" s="45" t="s">
        <v>251</v>
      </c>
      <c r="E410" s="17">
        <v>14</v>
      </c>
      <c r="F410" s="35">
        <v>3.5</v>
      </c>
      <c r="G410" s="20">
        <v>20</v>
      </c>
      <c r="H410" s="41">
        <f t="shared" si="138"/>
        <v>4.2</v>
      </c>
      <c r="I410" s="41"/>
      <c r="J410" s="8">
        <v>4660136782797</v>
      </c>
    </row>
    <row r="411" spans="1:10" x14ac:dyDescent="0.2">
      <c r="A411" s="17">
        <v>7</v>
      </c>
      <c r="B411" s="36" t="s">
        <v>528</v>
      </c>
      <c r="C411" s="45" t="s">
        <v>15</v>
      </c>
      <c r="D411" s="45" t="s">
        <v>251</v>
      </c>
      <c r="E411" s="17">
        <v>14</v>
      </c>
      <c r="F411" s="35">
        <v>4.1500000000000004</v>
      </c>
      <c r="G411" s="20">
        <v>20</v>
      </c>
      <c r="H411" s="41">
        <f t="shared" si="138"/>
        <v>4.9800000000000004</v>
      </c>
      <c r="I411" s="41"/>
      <c r="J411" s="8">
        <v>4660136782094</v>
      </c>
    </row>
    <row r="412" spans="1:10" x14ac:dyDescent="0.2">
      <c r="A412" s="17">
        <v>8</v>
      </c>
      <c r="B412" s="36" t="s">
        <v>529</v>
      </c>
      <c r="C412" s="45" t="s">
        <v>15</v>
      </c>
      <c r="D412" s="45" t="s">
        <v>47</v>
      </c>
      <c r="E412" s="17">
        <v>6</v>
      </c>
      <c r="F412" s="35">
        <v>9</v>
      </c>
      <c r="G412" s="20">
        <v>20</v>
      </c>
      <c r="H412" s="41">
        <f t="shared" si="138"/>
        <v>10.799999999999999</v>
      </c>
      <c r="I412" s="41"/>
      <c r="J412" s="8">
        <v>4660136781905</v>
      </c>
    </row>
    <row r="413" spans="1:10" x14ac:dyDescent="0.2">
      <c r="A413" s="17">
        <v>9</v>
      </c>
      <c r="B413" s="3" t="s">
        <v>530</v>
      </c>
      <c r="C413" s="45" t="s">
        <v>15</v>
      </c>
      <c r="D413" s="45" t="s">
        <v>47</v>
      </c>
      <c r="E413" s="17">
        <v>6</v>
      </c>
      <c r="F413" s="35">
        <v>9.5</v>
      </c>
      <c r="G413" s="20">
        <v>20</v>
      </c>
      <c r="H413" s="41">
        <f t="shared" si="138"/>
        <v>11.4</v>
      </c>
      <c r="I413" s="41"/>
      <c r="J413" s="8">
        <v>4660136780403</v>
      </c>
    </row>
    <row r="414" spans="1:10" x14ac:dyDescent="0.2">
      <c r="A414" s="17">
        <v>10</v>
      </c>
      <c r="B414" s="36" t="s">
        <v>531</v>
      </c>
      <c r="C414" s="45" t="s">
        <v>15</v>
      </c>
      <c r="D414" s="45" t="s">
        <v>251</v>
      </c>
      <c r="E414" s="17">
        <v>14</v>
      </c>
      <c r="F414" s="35">
        <v>4.1500000000000004</v>
      </c>
      <c r="G414" s="20">
        <v>20</v>
      </c>
      <c r="H414" s="41">
        <f t="shared" si="138"/>
        <v>4.9800000000000004</v>
      </c>
      <c r="I414" s="41"/>
      <c r="J414" s="8">
        <v>4660136782247</v>
      </c>
    </row>
    <row r="415" spans="1:10" x14ac:dyDescent="0.2">
      <c r="A415" s="17">
        <v>11</v>
      </c>
      <c r="B415" s="36" t="s">
        <v>532</v>
      </c>
      <c r="C415" s="45" t="s">
        <v>15</v>
      </c>
      <c r="D415" s="45" t="s">
        <v>47</v>
      </c>
      <c r="E415" s="17">
        <v>6</v>
      </c>
      <c r="F415" s="35">
        <v>9.5</v>
      </c>
      <c r="G415" s="20">
        <v>20</v>
      </c>
      <c r="H415" s="41">
        <f t="shared" si="138"/>
        <v>11.4</v>
      </c>
      <c r="I415" s="41"/>
      <c r="J415" s="8">
        <v>4660136781844</v>
      </c>
    </row>
    <row r="416" spans="1:10" x14ac:dyDescent="0.2">
      <c r="A416" s="17">
        <v>12</v>
      </c>
      <c r="B416" s="3" t="s">
        <v>533</v>
      </c>
      <c r="C416" s="45" t="s">
        <v>15</v>
      </c>
      <c r="D416" s="45" t="s">
        <v>47</v>
      </c>
      <c r="E416" s="17">
        <v>6</v>
      </c>
      <c r="F416" s="35">
        <v>7.5</v>
      </c>
      <c r="G416" s="20">
        <v>20</v>
      </c>
      <c r="H416" s="41">
        <f t="shared" si="138"/>
        <v>9</v>
      </c>
      <c r="I416" s="41"/>
      <c r="J416" s="8">
        <v>4660136781936</v>
      </c>
    </row>
    <row r="417" spans="1:10" x14ac:dyDescent="0.2">
      <c r="A417" s="17">
        <v>13</v>
      </c>
      <c r="B417" s="36" t="s">
        <v>534</v>
      </c>
      <c r="C417" s="45" t="s">
        <v>15</v>
      </c>
      <c r="D417" s="45" t="s">
        <v>251</v>
      </c>
      <c r="E417" s="17">
        <v>14</v>
      </c>
      <c r="F417" s="35">
        <v>4.1500000000000004</v>
      </c>
      <c r="G417" s="20">
        <v>20</v>
      </c>
      <c r="H417" s="41">
        <f t="shared" si="138"/>
        <v>4.9800000000000004</v>
      </c>
      <c r="I417" s="41"/>
      <c r="J417" s="8">
        <v>4660136782070</v>
      </c>
    </row>
    <row r="418" spans="1:10" x14ac:dyDescent="0.2">
      <c r="A418" s="17">
        <v>14</v>
      </c>
      <c r="B418" s="3" t="s">
        <v>535</v>
      </c>
      <c r="C418" s="45" t="s">
        <v>15</v>
      </c>
      <c r="D418" s="45" t="s">
        <v>47</v>
      </c>
      <c r="E418" s="17">
        <v>6</v>
      </c>
      <c r="F418" s="35">
        <v>11.5</v>
      </c>
      <c r="G418" s="20">
        <v>20</v>
      </c>
      <c r="H418" s="41">
        <f t="shared" si="138"/>
        <v>13.799999999999999</v>
      </c>
      <c r="I418" s="41"/>
      <c r="J418" s="8">
        <v>4660136780748</v>
      </c>
    </row>
    <row r="419" spans="1:10" x14ac:dyDescent="0.2">
      <c r="A419" s="17">
        <v>15</v>
      </c>
      <c r="B419" s="3" t="s">
        <v>536</v>
      </c>
      <c r="C419" s="45" t="s">
        <v>15</v>
      </c>
      <c r="D419" s="45" t="s">
        <v>47</v>
      </c>
      <c r="E419" s="17">
        <v>6</v>
      </c>
      <c r="F419" s="35">
        <v>10.56</v>
      </c>
      <c r="G419" s="20">
        <v>20</v>
      </c>
      <c r="H419" s="41">
        <f t="shared" si="138"/>
        <v>12.672000000000001</v>
      </c>
      <c r="I419" s="41"/>
      <c r="J419" s="8">
        <v>4660136780755</v>
      </c>
    </row>
    <row r="420" spans="1:10" x14ac:dyDescent="0.2">
      <c r="A420" s="17">
        <v>16</v>
      </c>
      <c r="B420" s="36" t="s">
        <v>537</v>
      </c>
      <c r="C420" s="45" t="s">
        <v>15</v>
      </c>
      <c r="D420" s="45" t="s">
        <v>251</v>
      </c>
      <c r="E420" s="17">
        <v>14</v>
      </c>
      <c r="F420" s="35">
        <v>3.5</v>
      </c>
      <c r="G420" s="20">
        <v>20</v>
      </c>
      <c r="H420" s="41">
        <f t="shared" si="138"/>
        <v>4.2</v>
      </c>
      <c r="I420" s="41"/>
      <c r="J420" s="8">
        <v>4660136782834</v>
      </c>
    </row>
    <row r="421" spans="1:10" x14ac:dyDescent="0.2">
      <c r="A421" s="17">
        <v>17</v>
      </c>
      <c r="B421" s="3" t="s">
        <v>538</v>
      </c>
      <c r="C421" s="45" t="s">
        <v>15</v>
      </c>
      <c r="D421" s="45" t="s">
        <v>47</v>
      </c>
      <c r="E421" s="17">
        <v>6</v>
      </c>
      <c r="F421" s="35">
        <v>11.5</v>
      </c>
      <c r="G421" s="20">
        <v>20</v>
      </c>
      <c r="H421" s="41">
        <f t="shared" si="138"/>
        <v>13.799999999999999</v>
      </c>
      <c r="I421" s="41"/>
      <c r="J421" s="8">
        <v>4660136780380</v>
      </c>
    </row>
    <row r="422" spans="1:10" x14ac:dyDescent="0.2">
      <c r="A422" s="17">
        <v>18</v>
      </c>
      <c r="B422" s="3" t="s">
        <v>539</v>
      </c>
      <c r="C422" s="45" t="s">
        <v>15</v>
      </c>
      <c r="D422" s="45" t="s">
        <v>47</v>
      </c>
      <c r="E422" s="17">
        <v>6</v>
      </c>
      <c r="F422" s="35">
        <v>9.3000000000000007</v>
      </c>
      <c r="G422" s="20">
        <v>20</v>
      </c>
      <c r="H422" s="41">
        <f t="shared" si="138"/>
        <v>11.16</v>
      </c>
      <c r="I422" s="41"/>
      <c r="J422" s="8">
        <v>4660136780441</v>
      </c>
    </row>
    <row r="423" spans="1:10" x14ac:dyDescent="0.2">
      <c r="A423" s="17">
        <v>19</v>
      </c>
      <c r="B423" s="3" t="s">
        <v>540</v>
      </c>
      <c r="C423" s="45" t="s">
        <v>15</v>
      </c>
      <c r="D423" s="45" t="s">
        <v>47</v>
      </c>
      <c r="E423" s="17">
        <v>6</v>
      </c>
      <c r="F423" s="35">
        <v>9.4</v>
      </c>
      <c r="G423" s="20">
        <v>20</v>
      </c>
      <c r="H423" s="41">
        <f t="shared" si="138"/>
        <v>11.28</v>
      </c>
      <c r="I423" s="41"/>
      <c r="J423" s="8">
        <v>4660136780656</v>
      </c>
    </row>
    <row r="424" spans="1:10" x14ac:dyDescent="0.2">
      <c r="A424" s="17">
        <v>20</v>
      </c>
      <c r="B424" s="36" t="s">
        <v>541</v>
      </c>
      <c r="C424" s="45" t="s">
        <v>15</v>
      </c>
      <c r="D424" s="45" t="s">
        <v>251</v>
      </c>
      <c r="E424" s="17">
        <v>14</v>
      </c>
      <c r="F424" s="35">
        <v>3.5</v>
      </c>
      <c r="G424" s="20">
        <v>20</v>
      </c>
      <c r="H424" s="41">
        <f t="shared" si="138"/>
        <v>4.2</v>
      </c>
      <c r="I424" s="41"/>
      <c r="J424" s="8">
        <v>4660136782841</v>
      </c>
    </row>
    <row r="425" spans="1:10" x14ac:dyDescent="0.2">
      <c r="A425" s="17">
        <v>21</v>
      </c>
      <c r="B425" s="3" t="s">
        <v>542</v>
      </c>
      <c r="C425" s="45" t="s">
        <v>15</v>
      </c>
      <c r="D425" s="45" t="s">
        <v>47</v>
      </c>
      <c r="E425" s="17">
        <v>6</v>
      </c>
      <c r="F425" s="35">
        <v>6.9</v>
      </c>
      <c r="G425" s="20">
        <v>20</v>
      </c>
      <c r="H425" s="41">
        <f t="shared" si="138"/>
        <v>8.2799999999999994</v>
      </c>
      <c r="I425" s="41"/>
      <c r="J425" s="8">
        <v>4660136780762</v>
      </c>
    </row>
    <row r="426" spans="1:10" x14ac:dyDescent="0.2">
      <c r="A426" s="17">
        <v>22</v>
      </c>
      <c r="B426" s="37" t="s">
        <v>543</v>
      </c>
      <c r="C426" s="45" t="s">
        <v>15</v>
      </c>
      <c r="D426" s="45" t="s">
        <v>47</v>
      </c>
      <c r="E426" s="17">
        <v>6</v>
      </c>
      <c r="F426" s="35">
        <v>9.5</v>
      </c>
      <c r="G426" s="20">
        <v>20</v>
      </c>
      <c r="H426" s="41">
        <f t="shared" si="138"/>
        <v>11.4</v>
      </c>
      <c r="I426" s="41"/>
      <c r="J426" s="8">
        <v>4660136781035</v>
      </c>
    </row>
    <row r="427" spans="1:10" x14ac:dyDescent="0.2">
      <c r="A427" s="17">
        <v>23</v>
      </c>
      <c r="B427" s="3" t="s">
        <v>544</v>
      </c>
      <c r="C427" s="45" t="s">
        <v>15</v>
      </c>
      <c r="D427" s="45" t="s">
        <v>267</v>
      </c>
      <c r="E427" s="17">
        <v>6</v>
      </c>
      <c r="F427" s="35">
        <v>4.1500000000000004</v>
      </c>
      <c r="G427" s="20">
        <v>20</v>
      </c>
      <c r="H427" s="41">
        <f t="shared" si="138"/>
        <v>4.9800000000000004</v>
      </c>
      <c r="I427" s="41"/>
      <c r="J427" s="64" t="s">
        <v>302</v>
      </c>
    </row>
    <row r="428" spans="1:10" x14ac:dyDescent="0.2">
      <c r="A428" s="17">
        <v>24</v>
      </c>
      <c r="B428" s="3" t="s">
        <v>545</v>
      </c>
      <c r="C428" s="45" t="s">
        <v>15</v>
      </c>
      <c r="D428" s="45" t="s">
        <v>267</v>
      </c>
      <c r="E428" s="17">
        <v>14</v>
      </c>
      <c r="F428" s="35">
        <v>4.1500000000000004</v>
      </c>
      <c r="G428" s="20">
        <v>20</v>
      </c>
      <c r="H428" s="41">
        <f t="shared" si="138"/>
        <v>4.9800000000000004</v>
      </c>
      <c r="I428" s="41"/>
      <c r="J428" s="64" t="s">
        <v>302</v>
      </c>
    </row>
    <row r="429" spans="1:10" x14ac:dyDescent="0.2">
      <c r="A429" s="17">
        <v>25</v>
      </c>
      <c r="B429" s="36" t="s">
        <v>546</v>
      </c>
      <c r="C429" s="45" t="s">
        <v>15</v>
      </c>
      <c r="D429" s="45" t="s">
        <v>47</v>
      </c>
      <c r="E429" s="17">
        <v>6</v>
      </c>
      <c r="F429" s="35">
        <v>8.3000000000000007</v>
      </c>
      <c r="G429" s="20">
        <v>20</v>
      </c>
      <c r="H429" s="41">
        <f t="shared" si="138"/>
        <v>9.9600000000000009</v>
      </c>
      <c r="I429" s="41"/>
      <c r="J429" s="8">
        <v>4660136780632</v>
      </c>
    </row>
    <row r="430" spans="1:10" x14ac:dyDescent="0.2">
      <c r="A430" s="17">
        <v>27</v>
      </c>
      <c r="B430" s="3" t="s">
        <v>551</v>
      </c>
      <c r="C430" s="45" t="s">
        <v>15</v>
      </c>
      <c r="D430" s="45" t="s">
        <v>47</v>
      </c>
      <c r="E430" s="17">
        <v>6</v>
      </c>
      <c r="F430" s="35">
        <v>7</v>
      </c>
      <c r="G430" s="20">
        <v>20</v>
      </c>
      <c r="H430" s="19">
        <f t="shared" si="138"/>
        <v>8.4</v>
      </c>
      <c r="I430" s="19"/>
      <c r="J430" s="8">
        <v>4660136780397</v>
      </c>
    </row>
    <row r="431" spans="1:10" x14ac:dyDescent="0.2">
      <c r="A431" s="17">
        <v>28</v>
      </c>
      <c r="B431" s="36" t="s">
        <v>547</v>
      </c>
      <c r="C431" s="45" t="s">
        <v>15</v>
      </c>
      <c r="D431" s="45" t="s">
        <v>47</v>
      </c>
      <c r="E431" s="17">
        <v>6</v>
      </c>
      <c r="F431" s="35">
        <v>9</v>
      </c>
      <c r="G431" s="20">
        <v>20</v>
      </c>
      <c r="H431" s="19">
        <f t="shared" si="138"/>
        <v>10.799999999999999</v>
      </c>
      <c r="I431" s="19"/>
      <c r="J431" s="8">
        <v>4660136781929</v>
      </c>
    </row>
    <row r="432" spans="1:10" x14ac:dyDescent="0.2">
      <c r="A432" s="17">
        <v>29</v>
      </c>
      <c r="B432" s="3" t="s">
        <v>548</v>
      </c>
      <c r="C432" s="45" t="s">
        <v>15</v>
      </c>
      <c r="D432" s="45" t="s">
        <v>47</v>
      </c>
      <c r="E432" s="17">
        <v>6</v>
      </c>
      <c r="F432" s="35">
        <v>8</v>
      </c>
      <c r="G432" s="20">
        <v>20</v>
      </c>
      <c r="H432" s="19">
        <f t="shared" si="138"/>
        <v>9.6</v>
      </c>
      <c r="I432" s="19"/>
      <c r="J432" s="8">
        <v>4660136780793</v>
      </c>
    </row>
    <row r="433" spans="1:10" x14ac:dyDescent="0.2">
      <c r="A433" s="17">
        <v>30</v>
      </c>
      <c r="B433" s="3" t="s">
        <v>549</v>
      </c>
      <c r="C433" s="45" t="s">
        <v>15</v>
      </c>
      <c r="D433" s="45" t="s">
        <v>47</v>
      </c>
      <c r="E433" s="17">
        <v>6</v>
      </c>
      <c r="F433" s="35">
        <v>8.3000000000000007</v>
      </c>
      <c r="G433" s="20">
        <v>20</v>
      </c>
      <c r="H433" s="19">
        <f t="shared" si="138"/>
        <v>9.9600000000000009</v>
      </c>
      <c r="I433" s="19"/>
      <c r="J433" s="8">
        <v>4660136781912</v>
      </c>
    </row>
    <row r="434" spans="1:10" x14ac:dyDescent="0.2">
      <c r="A434" s="17">
        <v>31</v>
      </c>
      <c r="B434" s="3" t="s">
        <v>550</v>
      </c>
      <c r="C434" s="45" t="s">
        <v>15</v>
      </c>
      <c r="D434" s="17" t="s">
        <v>50</v>
      </c>
      <c r="E434" s="17">
        <v>6</v>
      </c>
      <c r="F434" s="19">
        <v>3.2</v>
      </c>
      <c r="G434" s="20">
        <v>20</v>
      </c>
      <c r="H434" s="41">
        <f t="shared" si="138"/>
        <v>3.84</v>
      </c>
      <c r="I434" s="41"/>
      <c r="J434" s="20"/>
    </row>
    <row r="435" spans="1:10" ht="14.25" customHeight="1" x14ac:dyDescent="0.2">
      <c r="A435" s="99" t="s">
        <v>59</v>
      </c>
      <c r="B435" s="100"/>
      <c r="C435" s="100"/>
      <c r="D435" s="100"/>
      <c r="E435" s="100"/>
      <c r="F435" s="100"/>
      <c r="G435" s="100"/>
      <c r="H435" s="100"/>
      <c r="I435" s="55"/>
      <c r="J435" s="20"/>
    </row>
    <row r="436" spans="1:10" x14ac:dyDescent="0.2">
      <c r="A436" s="17">
        <v>1</v>
      </c>
      <c r="B436" s="18" t="s">
        <v>78</v>
      </c>
      <c r="C436" s="45" t="s">
        <v>20</v>
      </c>
      <c r="D436" s="17" t="s">
        <v>49</v>
      </c>
      <c r="E436" s="17">
        <v>30</v>
      </c>
      <c r="F436" s="16">
        <v>5.5</v>
      </c>
      <c r="G436" s="20">
        <v>20</v>
      </c>
      <c r="H436" s="41">
        <f>F436*1.2</f>
        <v>6.6</v>
      </c>
      <c r="I436" s="41"/>
      <c r="J436" s="20"/>
    </row>
    <row r="437" spans="1:10" x14ac:dyDescent="0.2">
      <c r="A437" s="17">
        <v>2</v>
      </c>
      <c r="B437" s="18" t="s">
        <v>514</v>
      </c>
      <c r="C437" s="45" t="s">
        <v>15</v>
      </c>
      <c r="D437" s="17" t="s">
        <v>289</v>
      </c>
      <c r="E437" s="17"/>
      <c r="F437" s="16">
        <v>5</v>
      </c>
      <c r="G437" s="20">
        <v>20</v>
      </c>
      <c r="H437" s="41">
        <f t="shared" ref="H437:H438" si="139">F437*1.2</f>
        <v>6</v>
      </c>
      <c r="I437" s="41"/>
      <c r="J437" s="20"/>
    </row>
    <row r="438" spans="1:10" x14ac:dyDescent="0.2">
      <c r="A438" s="17">
        <v>3</v>
      </c>
      <c r="B438" s="18" t="s">
        <v>515</v>
      </c>
      <c r="C438" s="45" t="s">
        <v>15</v>
      </c>
      <c r="D438" s="17" t="s">
        <v>49</v>
      </c>
      <c r="E438" s="17"/>
      <c r="F438" s="16">
        <v>4.5</v>
      </c>
      <c r="G438" s="20">
        <v>20</v>
      </c>
      <c r="H438" s="41">
        <f t="shared" si="139"/>
        <v>5.3999999999999995</v>
      </c>
      <c r="I438" s="41"/>
      <c r="J438" s="20"/>
    </row>
    <row r="439" spans="1:10" ht="14.25" customHeight="1" x14ac:dyDescent="0.2">
      <c r="A439" s="99" t="s">
        <v>243</v>
      </c>
      <c r="B439" s="100"/>
      <c r="C439" s="100"/>
      <c r="D439" s="100"/>
      <c r="E439" s="100"/>
      <c r="F439" s="100"/>
      <c r="G439" s="100"/>
      <c r="H439" s="100"/>
      <c r="I439" s="55"/>
      <c r="J439" s="20"/>
    </row>
    <row r="440" spans="1:10" x14ac:dyDescent="0.2">
      <c r="A440" s="17">
        <v>1</v>
      </c>
      <c r="B440" s="1" t="s">
        <v>244</v>
      </c>
      <c r="C440" s="45" t="s">
        <v>16</v>
      </c>
      <c r="D440" s="45" t="s">
        <v>250</v>
      </c>
      <c r="E440" s="17">
        <v>20</v>
      </c>
      <c r="F440" s="35">
        <v>5.0999999999999996</v>
      </c>
      <c r="G440" s="20">
        <v>20</v>
      </c>
      <c r="H440" s="41">
        <f>F440*1.2</f>
        <v>6.1199999999999992</v>
      </c>
      <c r="I440" s="41"/>
      <c r="J440" s="8">
        <v>8003130186219</v>
      </c>
    </row>
    <row r="441" spans="1:10" x14ac:dyDescent="0.2">
      <c r="A441" s="17">
        <v>2</v>
      </c>
      <c r="B441" s="1" t="s">
        <v>245</v>
      </c>
      <c r="C441" s="45" t="s">
        <v>16</v>
      </c>
      <c r="D441" s="45" t="s">
        <v>250</v>
      </c>
      <c r="E441" s="17">
        <v>20</v>
      </c>
      <c r="F441" s="35">
        <v>5.0999999999999996</v>
      </c>
      <c r="G441" s="20">
        <v>20</v>
      </c>
      <c r="H441" s="41">
        <f t="shared" ref="H441:H445" si="140">F441*1.2</f>
        <v>6.1199999999999992</v>
      </c>
      <c r="I441" s="41"/>
      <c r="J441" s="8">
        <v>8003130186202</v>
      </c>
    </row>
    <row r="442" spans="1:10" x14ac:dyDescent="0.2">
      <c r="A442" s="17">
        <v>3</v>
      </c>
      <c r="B442" s="1" t="s">
        <v>246</v>
      </c>
      <c r="C442" s="45" t="s">
        <v>16</v>
      </c>
      <c r="D442" s="45" t="s">
        <v>250</v>
      </c>
      <c r="E442" s="17">
        <v>20</v>
      </c>
      <c r="F442" s="35">
        <v>5.0999999999999996</v>
      </c>
      <c r="G442" s="20">
        <v>20</v>
      </c>
      <c r="H442" s="41">
        <f t="shared" si="140"/>
        <v>6.1199999999999992</v>
      </c>
      <c r="I442" s="41"/>
      <c r="J442" s="8">
        <v>8003130186226</v>
      </c>
    </row>
    <row r="443" spans="1:10" x14ac:dyDescent="0.2">
      <c r="A443" s="17">
        <v>4</v>
      </c>
      <c r="B443" s="1" t="s">
        <v>247</v>
      </c>
      <c r="C443" s="45" t="s">
        <v>16</v>
      </c>
      <c r="D443" s="45" t="s">
        <v>250</v>
      </c>
      <c r="E443" s="17">
        <v>20</v>
      </c>
      <c r="F443" s="35">
        <v>5.0999999999999996</v>
      </c>
      <c r="G443" s="20">
        <v>20</v>
      </c>
      <c r="H443" s="41">
        <f t="shared" si="140"/>
        <v>6.1199999999999992</v>
      </c>
      <c r="I443" s="41"/>
      <c r="J443" s="8">
        <v>8003130186691</v>
      </c>
    </row>
    <row r="444" spans="1:10" x14ac:dyDescent="0.2">
      <c r="A444" s="17">
        <v>5</v>
      </c>
      <c r="B444" s="1" t="s">
        <v>248</v>
      </c>
      <c r="C444" s="45" t="s">
        <v>16</v>
      </c>
      <c r="D444" s="45" t="s">
        <v>250</v>
      </c>
      <c r="E444" s="17">
        <v>16</v>
      </c>
      <c r="F444" s="35">
        <v>10.7</v>
      </c>
      <c r="G444" s="20">
        <v>20</v>
      </c>
      <c r="H444" s="41">
        <f t="shared" si="140"/>
        <v>12.839999999999998</v>
      </c>
      <c r="I444" s="41"/>
      <c r="J444" s="8">
        <v>8003130120671</v>
      </c>
    </row>
    <row r="445" spans="1:10" x14ac:dyDescent="0.2">
      <c r="A445" s="17">
        <v>6</v>
      </c>
      <c r="B445" s="1" t="s">
        <v>249</v>
      </c>
      <c r="C445" s="45" t="s">
        <v>16</v>
      </c>
      <c r="D445" s="45" t="s">
        <v>250</v>
      </c>
      <c r="E445" s="17">
        <v>16</v>
      </c>
      <c r="F445" s="35">
        <v>10.7</v>
      </c>
      <c r="G445" s="20">
        <v>20</v>
      </c>
      <c r="H445" s="41">
        <f t="shared" si="140"/>
        <v>12.839999999999998</v>
      </c>
      <c r="I445" s="41"/>
      <c r="J445" s="8">
        <v>8003130120718</v>
      </c>
    </row>
    <row r="446" spans="1:10" x14ac:dyDescent="0.2">
      <c r="A446" s="17">
        <v>7</v>
      </c>
      <c r="B446" s="1" t="s">
        <v>472</v>
      </c>
      <c r="C446" s="45" t="s">
        <v>16</v>
      </c>
      <c r="D446" s="45" t="s">
        <v>250</v>
      </c>
      <c r="E446" s="17">
        <v>14</v>
      </c>
      <c r="F446" s="35">
        <v>12.15</v>
      </c>
      <c r="G446" s="20">
        <v>20</v>
      </c>
      <c r="H446" s="41">
        <f t="shared" ref="H446" si="141">F446*1.2</f>
        <v>14.58</v>
      </c>
      <c r="I446" s="41"/>
      <c r="J446" s="8">
        <v>8033993042346</v>
      </c>
    </row>
    <row r="447" spans="1:10" ht="14.25" customHeight="1" x14ac:dyDescent="0.2">
      <c r="A447" s="99" t="s">
        <v>473</v>
      </c>
      <c r="B447" s="100"/>
      <c r="C447" s="100"/>
      <c r="D447" s="100"/>
      <c r="E447" s="100"/>
      <c r="F447" s="100"/>
      <c r="G447" s="100"/>
      <c r="H447" s="100"/>
      <c r="I447" s="55"/>
      <c r="J447" s="20"/>
    </row>
    <row r="448" spans="1:10" x14ac:dyDescent="0.2">
      <c r="A448" s="4">
        <v>31</v>
      </c>
      <c r="B448" s="18" t="s">
        <v>199</v>
      </c>
      <c r="C448" s="17" t="s">
        <v>16</v>
      </c>
      <c r="D448" s="4" t="s">
        <v>427</v>
      </c>
      <c r="E448" s="17">
        <v>6</v>
      </c>
      <c r="F448" s="19">
        <v>6.87</v>
      </c>
      <c r="G448" s="8">
        <v>20</v>
      </c>
      <c r="H448" s="41">
        <f t="shared" ref="H448" si="142">F448*G448/100+F448</f>
        <v>8.2439999999999998</v>
      </c>
      <c r="I448" s="41"/>
      <c r="J448" s="20"/>
    </row>
    <row r="449" spans="1:10" x14ac:dyDescent="0.2">
      <c r="A449" s="17">
        <v>1</v>
      </c>
      <c r="B449" s="18" t="s">
        <v>306</v>
      </c>
      <c r="C449" s="45" t="s">
        <v>16</v>
      </c>
      <c r="D449" s="45" t="s">
        <v>40</v>
      </c>
      <c r="E449" s="17">
        <v>24</v>
      </c>
      <c r="F449" s="16">
        <v>3.7</v>
      </c>
      <c r="G449" s="20">
        <v>20</v>
      </c>
      <c r="H449" s="41">
        <f>F449*1.2</f>
        <v>4.4400000000000004</v>
      </c>
      <c r="I449" s="41"/>
      <c r="J449" s="20" t="s">
        <v>322</v>
      </c>
    </row>
    <row r="450" spans="1:10" x14ac:dyDescent="0.2">
      <c r="A450" s="17">
        <v>2</v>
      </c>
      <c r="B450" s="18" t="s">
        <v>307</v>
      </c>
      <c r="C450" s="45" t="s">
        <v>16</v>
      </c>
      <c r="D450" s="45" t="s">
        <v>40</v>
      </c>
      <c r="E450" s="17">
        <v>24</v>
      </c>
      <c r="F450" s="16">
        <v>3.7</v>
      </c>
      <c r="G450" s="20">
        <v>20</v>
      </c>
      <c r="H450" s="41">
        <f t="shared" ref="H450:H461" si="143">F450*1.2</f>
        <v>4.4400000000000004</v>
      </c>
      <c r="I450" s="41"/>
      <c r="J450" s="20" t="s">
        <v>323</v>
      </c>
    </row>
    <row r="451" spans="1:10" x14ac:dyDescent="0.2">
      <c r="A451" s="17">
        <v>3</v>
      </c>
      <c r="B451" s="18" t="s">
        <v>308</v>
      </c>
      <c r="C451" s="45" t="s">
        <v>16</v>
      </c>
      <c r="D451" s="45" t="s">
        <v>40</v>
      </c>
      <c r="E451" s="17">
        <v>24</v>
      </c>
      <c r="F451" s="16">
        <v>3.7</v>
      </c>
      <c r="G451" s="20">
        <v>20</v>
      </c>
      <c r="H451" s="41">
        <f t="shared" si="143"/>
        <v>4.4400000000000004</v>
      </c>
      <c r="I451" s="41"/>
      <c r="J451" s="20" t="s">
        <v>324</v>
      </c>
    </row>
    <row r="452" spans="1:10" x14ac:dyDescent="0.2">
      <c r="A452" s="17">
        <v>4</v>
      </c>
      <c r="B452" s="18" t="s">
        <v>309</v>
      </c>
      <c r="C452" s="45" t="s">
        <v>16</v>
      </c>
      <c r="D452" s="45" t="s">
        <v>40</v>
      </c>
      <c r="E452" s="17">
        <v>24</v>
      </c>
      <c r="F452" s="16">
        <v>3.7</v>
      </c>
      <c r="G452" s="20">
        <v>20</v>
      </c>
      <c r="H452" s="41">
        <f t="shared" si="143"/>
        <v>4.4400000000000004</v>
      </c>
      <c r="I452" s="41"/>
      <c r="J452" s="20" t="s">
        <v>325</v>
      </c>
    </row>
    <row r="453" spans="1:10" x14ac:dyDescent="0.2">
      <c r="A453" s="17">
        <v>5</v>
      </c>
      <c r="B453" s="18" t="s">
        <v>310</v>
      </c>
      <c r="C453" s="45" t="s">
        <v>16</v>
      </c>
      <c r="D453" s="45" t="s">
        <v>40</v>
      </c>
      <c r="E453" s="17">
        <v>24</v>
      </c>
      <c r="F453" s="16">
        <v>3.7</v>
      </c>
      <c r="G453" s="20">
        <v>20</v>
      </c>
      <c r="H453" s="41">
        <f t="shared" si="143"/>
        <v>4.4400000000000004</v>
      </c>
      <c r="I453" s="41"/>
      <c r="J453" s="20" t="s">
        <v>326</v>
      </c>
    </row>
    <row r="454" spans="1:10" ht="24" x14ac:dyDescent="0.2">
      <c r="A454" s="17">
        <v>6</v>
      </c>
      <c r="B454" s="18" t="s">
        <v>311</v>
      </c>
      <c r="C454" s="45" t="s">
        <v>16</v>
      </c>
      <c r="D454" s="45" t="s">
        <v>40</v>
      </c>
      <c r="E454" s="17">
        <v>24</v>
      </c>
      <c r="F454" s="16">
        <v>3.7</v>
      </c>
      <c r="G454" s="20">
        <v>20</v>
      </c>
      <c r="H454" s="41">
        <f t="shared" si="143"/>
        <v>4.4400000000000004</v>
      </c>
      <c r="I454" s="41"/>
      <c r="J454" s="20" t="s">
        <v>327</v>
      </c>
    </row>
    <row r="455" spans="1:10" x14ac:dyDescent="0.2">
      <c r="A455" s="17">
        <v>7</v>
      </c>
      <c r="B455" s="18" t="s">
        <v>312</v>
      </c>
      <c r="C455" s="45" t="s">
        <v>16</v>
      </c>
      <c r="D455" s="45" t="s">
        <v>40</v>
      </c>
      <c r="E455" s="17">
        <v>24</v>
      </c>
      <c r="F455" s="16">
        <v>3.7</v>
      </c>
      <c r="G455" s="20">
        <v>20</v>
      </c>
      <c r="H455" s="41">
        <f t="shared" si="143"/>
        <v>4.4400000000000004</v>
      </c>
      <c r="I455" s="41"/>
      <c r="J455" s="20" t="s">
        <v>328</v>
      </c>
    </row>
    <row r="456" spans="1:10" x14ac:dyDescent="0.2">
      <c r="A456" s="17">
        <v>8</v>
      </c>
      <c r="B456" s="18" t="s">
        <v>313</v>
      </c>
      <c r="C456" s="45" t="s">
        <v>16</v>
      </c>
      <c r="D456" s="45" t="s">
        <v>321</v>
      </c>
      <c r="E456" s="17">
        <v>12</v>
      </c>
      <c r="F456" s="16">
        <v>9.4700000000000006</v>
      </c>
      <c r="G456" s="20">
        <v>20</v>
      </c>
      <c r="H456" s="41">
        <f t="shared" si="143"/>
        <v>11.364000000000001</v>
      </c>
      <c r="I456" s="41"/>
      <c r="J456" s="20" t="s">
        <v>329</v>
      </c>
    </row>
    <row r="457" spans="1:10" x14ac:dyDescent="0.2">
      <c r="A457" s="17">
        <v>9</v>
      </c>
      <c r="B457" s="18" t="s">
        <v>314</v>
      </c>
      <c r="C457" s="45" t="s">
        <v>16</v>
      </c>
      <c r="D457" s="45" t="s">
        <v>321</v>
      </c>
      <c r="E457" s="17">
        <v>12</v>
      </c>
      <c r="F457" s="16">
        <v>9.4700000000000006</v>
      </c>
      <c r="G457" s="20">
        <v>20</v>
      </c>
      <c r="H457" s="41">
        <f t="shared" si="143"/>
        <v>11.364000000000001</v>
      </c>
      <c r="I457" s="41"/>
      <c r="J457" s="20" t="s">
        <v>330</v>
      </c>
    </row>
    <row r="458" spans="1:10" x14ac:dyDescent="0.2">
      <c r="A458" s="17">
        <v>10</v>
      </c>
      <c r="B458" s="18" t="s">
        <v>315</v>
      </c>
      <c r="C458" s="45" t="s">
        <v>16</v>
      </c>
      <c r="D458" s="45" t="s">
        <v>321</v>
      </c>
      <c r="E458" s="17">
        <v>12</v>
      </c>
      <c r="F458" s="16">
        <v>9.4700000000000006</v>
      </c>
      <c r="G458" s="20">
        <v>20</v>
      </c>
      <c r="H458" s="41">
        <f t="shared" si="143"/>
        <v>11.364000000000001</v>
      </c>
      <c r="I458" s="41"/>
      <c r="J458" s="20" t="s">
        <v>331</v>
      </c>
    </row>
    <row r="459" spans="1:10" x14ac:dyDescent="0.2">
      <c r="A459" s="17">
        <v>11</v>
      </c>
      <c r="B459" s="18" t="s">
        <v>316</v>
      </c>
      <c r="C459" s="45" t="s">
        <v>16</v>
      </c>
      <c r="D459" s="45" t="s">
        <v>321</v>
      </c>
      <c r="E459" s="17">
        <v>12</v>
      </c>
      <c r="F459" s="16">
        <v>11.69</v>
      </c>
      <c r="G459" s="20">
        <v>20</v>
      </c>
      <c r="H459" s="41">
        <f t="shared" si="143"/>
        <v>14.027999999999999</v>
      </c>
      <c r="I459" s="41"/>
      <c r="J459" s="20" t="s">
        <v>332</v>
      </c>
    </row>
    <row r="460" spans="1:10" x14ac:dyDescent="0.2">
      <c r="A460" s="17">
        <v>12</v>
      </c>
      <c r="B460" s="18" t="s">
        <v>317</v>
      </c>
      <c r="C460" s="45" t="s">
        <v>16</v>
      </c>
      <c r="D460" s="45" t="s">
        <v>321</v>
      </c>
      <c r="E460" s="17">
        <v>12</v>
      </c>
      <c r="F460" s="16">
        <v>9.4700000000000006</v>
      </c>
      <c r="G460" s="20">
        <v>20</v>
      </c>
      <c r="H460" s="41">
        <f t="shared" si="143"/>
        <v>11.364000000000001</v>
      </c>
      <c r="I460" s="41"/>
      <c r="J460" s="8">
        <v>8000340450512</v>
      </c>
    </row>
    <row r="461" spans="1:10" x14ac:dyDescent="0.2">
      <c r="A461" s="17">
        <v>13</v>
      </c>
      <c r="B461" s="18" t="s">
        <v>318</v>
      </c>
      <c r="C461" s="45" t="s">
        <v>16</v>
      </c>
      <c r="D461" s="45" t="s">
        <v>321</v>
      </c>
      <c r="E461" s="17">
        <v>12</v>
      </c>
      <c r="F461" s="16">
        <v>9.4700000000000006</v>
      </c>
      <c r="G461" s="20">
        <v>20</v>
      </c>
      <c r="H461" s="41">
        <f t="shared" si="143"/>
        <v>11.364000000000001</v>
      </c>
      <c r="I461" s="41"/>
      <c r="J461" s="20" t="s">
        <v>333</v>
      </c>
    </row>
    <row r="462" spans="1:10" x14ac:dyDescent="0.2">
      <c r="A462" s="17">
        <v>14</v>
      </c>
      <c r="B462" s="18" t="s">
        <v>319</v>
      </c>
      <c r="C462" s="45" t="s">
        <v>16</v>
      </c>
      <c r="D462" s="45" t="s">
        <v>321</v>
      </c>
      <c r="E462" s="17">
        <v>12</v>
      </c>
      <c r="F462" s="16">
        <v>9.4700000000000006</v>
      </c>
      <c r="G462" s="20">
        <v>20</v>
      </c>
      <c r="H462" s="41">
        <f t="shared" ref="H462:H463" si="144">F462*1.2</f>
        <v>11.364000000000001</v>
      </c>
      <c r="I462" s="41"/>
      <c r="J462" s="20" t="s">
        <v>334</v>
      </c>
    </row>
    <row r="463" spans="1:10" ht="11.45" customHeight="1" x14ac:dyDescent="0.2">
      <c r="A463" s="17">
        <v>15</v>
      </c>
      <c r="B463" s="18" t="s">
        <v>320</v>
      </c>
      <c r="C463" s="45" t="s">
        <v>16</v>
      </c>
      <c r="D463" s="45" t="s">
        <v>321</v>
      </c>
      <c r="E463" s="17">
        <v>12</v>
      </c>
      <c r="F463" s="16">
        <v>9.4700000000000006</v>
      </c>
      <c r="G463" s="20">
        <v>20</v>
      </c>
      <c r="H463" s="41">
        <f t="shared" si="144"/>
        <v>11.364000000000001</v>
      </c>
      <c r="I463" s="41"/>
      <c r="J463" s="20" t="s">
        <v>335</v>
      </c>
    </row>
    <row r="464" spans="1:10" ht="14.25" customHeight="1" x14ac:dyDescent="0.2">
      <c r="A464" s="101" t="s">
        <v>425</v>
      </c>
      <c r="B464" s="102"/>
      <c r="C464" s="102"/>
      <c r="D464" s="102"/>
      <c r="E464" s="102"/>
      <c r="F464" s="102"/>
      <c r="G464" s="102"/>
      <c r="H464" s="102"/>
      <c r="I464" s="54"/>
      <c r="J464" s="20"/>
    </row>
    <row r="465" spans="1:10" ht="23.45" customHeight="1" x14ac:dyDescent="0.2">
      <c r="A465" s="17">
        <v>1</v>
      </c>
      <c r="B465" s="36" t="s">
        <v>380</v>
      </c>
      <c r="C465" s="45" t="s">
        <v>83</v>
      </c>
      <c r="D465" s="45" t="s">
        <v>40</v>
      </c>
      <c r="E465" s="17">
        <v>8</v>
      </c>
      <c r="F465" s="16">
        <v>2.9</v>
      </c>
      <c r="G465" s="20">
        <v>20</v>
      </c>
      <c r="H465" s="41">
        <f t="shared" ref="H465:H506" si="145">F465*1.2</f>
        <v>3.48</v>
      </c>
      <c r="I465" s="41"/>
      <c r="J465" s="67">
        <v>4607003261269</v>
      </c>
    </row>
    <row r="466" spans="1:10" x14ac:dyDescent="0.2">
      <c r="A466" s="17">
        <v>2</v>
      </c>
      <c r="B466" s="36" t="s">
        <v>401</v>
      </c>
      <c r="C466" s="45" t="s">
        <v>83</v>
      </c>
      <c r="D466" s="45" t="s">
        <v>40</v>
      </c>
      <c r="E466" s="17">
        <v>8</v>
      </c>
      <c r="F466" s="16">
        <v>2.9</v>
      </c>
      <c r="G466" s="20">
        <v>20</v>
      </c>
      <c r="H466" s="41">
        <f t="shared" si="145"/>
        <v>3.48</v>
      </c>
      <c r="I466" s="41"/>
      <c r="J466" s="67">
        <v>4607003261160</v>
      </c>
    </row>
    <row r="467" spans="1:10" x14ac:dyDescent="0.2">
      <c r="A467" s="17">
        <v>3</v>
      </c>
      <c r="B467" s="84" t="s">
        <v>403</v>
      </c>
      <c r="C467" s="45" t="s">
        <v>83</v>
      </c>
      <c r="D467" s="45" t="s">
        <v>40</v>
      </c>
      <c r="E467" s="17">
        <v>18</v>
      </c>
      <c r="F467" s="16">
        <v>1.6</v>
      </c>
      <c r="G467" s="20">
        <v>20</v>
      </c>
      <c r="H467" s="41">
        <f t="shared" si="145"/>
        <v>1.92</v>
      </c>
      <c r="I467" s="41"/>
      <c r="J467" s="67">
        <v>4607003261894</v>
      </c>
    </row>
    <row r="468" spans="1:10" x14ac:dyDescent="0.2">
      <c r="A468" s="17">
        <v>4</v>
      </c>
      <c r="B468" s="36" t="s">
        <v>399</v>
      </c>
      <c r="C468" s="45" t="s">
        <v>83</v>
      </c>
      <c r="D468" s="45" t="s">
        <v>40</v>
      </c>
      <c r="E468" s="17">
        <v>8</v>
      </c>
      <c r="F468" s="16">
        <v>2.9</v>
      </c>
      <c r="G468" s="20">
        <v>20</v>
      </c>
      <c r="H468" s="41">
        <f t="shared" si="145"/>
        <v>3.48</v>
      </c>
      <c r="I468" s="41"/>
      <c r="J468" s="67">
        <v>4607003260088</v>
      </c>
    </row>
    <row r="469" spans="1:10" x14ac:dyDescent="0.2">
      <c r="A469" s="17">
        <v>5</v>
      </c>
      <c r="B469" s="36" t="s">
        <v>468</v>
      </c>
      <c r="C469" s="45" t="s">
        <v>83</v>
      </c>
      <c r="D469" s="45" t="s">
        <v>164</v>
      </c>
      <c r="E469" s="17">
        <v>1</v>
      </c>
      <c r="F469" s="16">
        <v>29</v>
      </c>
      <c r="G469" s="20">
        <v>20</v>
      </c>
      <c r="H469" s="41">
        <f t="shared" si="145"/>
        <v>34.799999999999997</v>
      </c>
      <c r="I469" s="41"/>
      <c r="J469" s="67"/>
    </row>
    <row r="470" spans="1:10" x14ac:dyDescent="0.2">
      <c r="A470" s="17">
        <v>6</v>
      </c>
      <c r="B470" s="36" t="s">
        <v>467</v>
      </c>
      <c r="C470" s="45" t="s">
        <v>83</v>
      </c>
      <c r="D470" s="45" t="s">
        <v>164</v>
      </c>
      <c r="E470" s="17">
        <v>1</v>
      </c>
      <c r="F470" s="16">
        <v>24.5</v>
      </c>
      <c r="G470" s="20">
        <v>20</v>
      </c>
      <c r="H470" s="41">
        <f t="shared" si="145"/>
        <v>29.4</v>
      </c>
      <c r="I470" s="41"/>
      <c r="J470" s="67"/>
    </row>
    <row r="471" spans="1:10" x14ac:dyDescent="0.2">
      <c r="A471" s="17">
        <v>7</v>
      </c>
      <c r="B471" s="36" t="s">
        <v>404</v>
      </c>
      <c r="C471" s="45" t="s">
        <v>83</v>
      </c>
      <c r="D471" s="45" t="s">
        <v>453</v>
      </c>
      <c r="E471" s="17">
        <v>20</v>
      </c>
      <c r="F471" s="16">
        <v>0.99</v>
      </c>
      <c r="G471" s="20">
        <v>20</v>
      </c>
      <c r="H471" s="41">
        <f t="shared" si="145"/>
        <v>1.1879999999999999</v>
      </c>
      <c r="I471" s="41"/>
      <c r="J471" s="67">
        <v>4607003262693</v>
      </c>
    </row>
    <row r="472" spans="1:10" x14ac:dyDescent="0.2">
      <c r="A472" s="17">
        <v>8</v>
      </c>
      <c r="B472" s="36" t="s">
        <v>402</v>
      </c>
      <c r="C472" s="45" t="s">
        <v>83</v>
      </c>
      <c r="D472" s="45" t="s">
        <v>40</v>
      </c>
      <c r="E472" s="17">
        <v>15</v>
      </c>
      <c r="F472" s="16">
        <v>1.95</v>
      </c>
      <c r="G472" s="20">
        <v>20</v>
      </c>
      <c r="H472" s="41">
        <f t="shared" si="145"/>
        <v>2.34</v>
      </c>
      <c r="I472" s="41"/>
      <c r="J472" s="67">
        <v>4607003261146</v>
      </c>
    </row>
    <row r="473" spans="1:10" x14ac:dyDescent="0.2">
      <c r="A473" s="17">
        <v>9</v>
      </c>
      <c r="B473" s="36" t="s">
        <v>400</v>
      </c>
      <c r="C473" s="45" t="s">
        <v>83</v>
      </c>
      <c r="D473" s="45" t="s">
        <v>40</v>
      </c>
      <c r="E473" s="17">
        <v>8</v>
      </c>
      <c r="F473" s="16">
        <v>2.9</v>
      </c>
      <c r="G473" s="20">
        <v>20</v>
      </c>
      <c r="H473" s="41">
        <f t="shared" si="145"/>
        <v>3.48</v>
      </c>
      <c r="I473" s="41"/>
      <c r="J473" s="67">
        <v>4607003261382</v>
      </c>
    </row>
    <row r="474" spans="1:10" x14ac:dyDescent="0.2">
      <c r="A474" s="17">
        <v>10</v>
      </c>
      <c r="B474" s="36" t="s">
        <v>414</v>
      </c>
      <c r="C474" s="45" t="s">
        <v>83</v>
      </c>
      <c r="D474" s="45" t="s">
        <v>453</v>
      </c>
      <c r="E474" s="17">
        <v>16</v>
      </c>
      <c r="F474" s="16">
        <v>1.9</v>
      </c>
      <c r="G474" s="20">
        <v>20</v>
      </c>
      <c r="H474" s="41">
        <f t="shared" si="145"/>
        <v>2.2799999999999998</v>
      </c>
      <c r="I474" s="41"/>
      <c r="J474" s="68">
        <v>4607003262839</v>
      </c>
    </row>
    <row r="475" spans="1:10" x14ac:dyDescent="0.2">
      <c r="A475" s="17">
        <v>11</v>
      </c>
      <c r="B475" s="36" t="s">
        <v>415</v>
      </c>
      <c r="C475" s="45" t="s">
        <v>83</v>
      </c>
      <c r="D475" s="45" t="s">
        <v>453</v>
      </c>
      <c r="E475" s="17">
        <v>16</v>
      </c>
      <c r="F475" s="16">
        <v>1.9</v>
      </c>
      <c r="G475" s="20">
        <v>20</v>
      </c>
      <c r="H475" s="41">
        <f t="shared" si="145"/>
        <v>2.2799999999999998</v>
      </c>
      <c r="I475" s="41"/>
      <c r="J475" s="68">
        <v>4607003262822</v>
      </c>
    </row>
    <row r="476" spans="1:10" x14ac:dyDescent="0.2">
      <c r="A476" s="17">
        <v>12</v>
      </c>
      <c r="B476" s="53" t="s">
        <v>519</v>
      </c>
      <c r="C476" s="45" t="s">
        <v>83</v>
      </c>
      <c r="D476" s="45" t="s">
        <v>40</v>
      </c>
      <c r="E476" s="17">
        <v>15</v>
      </c>
      <c r="F476" s="16">
        <v>2.4</v>
      </c>
      <c r="G476" s="20">
        <v>20</v>
      </c>
      <c r="H476" s="41">
        <f t="shared" si="145"/>
        <v>2.88</v>
      </c>
      <c r="I476" s="41"/>
      <c r="J476" s="69"/>
    </row>
    <row r="477" spans="1:10" x14ac:dyDescent="0.2">
      <c r="A477" s="17">
        <v>13</v>
      </c>
      <c r="B477" s="83" t="s">
        <v>419</v>
      </c>
      <c r="C477" s="45" t="s">
        <v>83</v>
      </c>
      <c r="D477" s="45" t="s">
        <v>453</v>
      </c>
      <c r="E477" s="17">
        <v>6</v>
      </c>
      <c r="F477" s="16">
        <v>2.15</v>
      </c>
      <c r="G477" s="20">
        <v>20</v>
      </c>
      <c r="H477" s="41">
        <f t="shared" si="145"/>
        <v>2.5799999999999996</v>
      </c>
      <c r="I477" s="41"/>
      <c r="J477" s="69">
        <v>4607003263423</v>
      </c>
    </row>
    <row r="478" spans="1:10" x14ac:dyDescent="0.2">
      <c r="A478" s="17">
        <v>14</v>
      </c>
      <c r="B478" s="52" t="s">
        <v>395</v>
      </c>
      <c r="C478" s="45" t="s">
        <v>83</v>
      </c>
      <c r="D478" s="45" t="s">
        <v>40</v>
      </c>
      <c r="E478" s="17">
        <v>4</v>
      </c>
      <c r="F478" s="16">
        <v>5.39</v>
      </c>
      <c r="G478" s="20">
        <v>20</v>
      </c>
      <c r="H478" s="41">
        <f t="shared" si="145"/>
        <v>6.4679999999999991</v>
      </c>
      <c r="I478" s="41"/>
      <c r="J478" s="67">
        <v>4607003261443</v>
      </c>
    </row>
    <row r="479" spans="1:10" x14ac:dyDescent="0.2">
      <c r="A479" s="17">
        <v>15</v>
      </c>
      <c r="B479" s="36" t="s">
        <v>409</v>
      </c>
      <c r="C479" s="45" t="s">
        <v>83</v>
      </c>
      <c r="D479" s="45" t="s">
        <v>40</v>
      </c>
      <c r="E479" s="17">
        <v>10</v>
      </c>
      <c r="F479" s="16">
        <v>2.2999999999999998</v>
      </c>
      <c r="G479" s="20">
        <v>20</v>
      </c>
      <c r="H479" s="41">
        <f t="shared" si="145"/>
        <v>2.76</v>
      </c>
      <c r="I479" s="41"/>
      <c r="J479" s="67">
        <v>4607003261702</v>
      </c>
    </row>
    <row r="480" spans="1:10" x14ac:dyDescent="0.2">
      <c r="A480" s="17">
        <v>16</v>
      </c>
      <c r="B480" s="53" t="s">
        <v>424</v>
      </c>
      <c r="C480" s="45" t="s">
        <v>83</v>
      </c>
      <c r="D480" s="45" t="s">
        <v>40</v>
      </c>
      <c r="E480" s="17">
        <v>8</v>
      </c>
      <c r="F480" s="16">
        <v>4.29</v>
      </c>
      <c r="G480" s="20">
        <v>20</v>
      </c>
      <c r="H480" s="41">
        <f t="shared" si="145"/>
        <v>5.1479999999999997</v>
      </c>
      <c r="I480" s="41"/>
      <c r="J480" s="69">
        <v>4607003261788</v>
      </c>
    </row>
    <row r="481" spans="1:10" x14ac:dyDescent="0.2">
      <c r="A481" s="17">
        <v>17</v>
      </c>
      <c r="B481" s="53" t="s">
        <v>422</v>
      </c>
      <c r="C481" s="45" t="s">
        <v>83</v>
      </c>
      <c r="D481" s="45" t="s">
        <v>40</v>
      </c>
      <c r="E481" s="17">
        <v>8</v>
      </c>
      <c r="F481" s="16">
        <v>4.29</v>
      </c>
      <c r="G481" s="20">
        <v>20</v>
      </c>
      <c r="H481" s="41">
        <f t="shared" si="145"/>
        <v>5.1479999999999997</v>
      </c>
      <c r="I481" s="41"/>
      <c r="J481" s="69">
        <v>4607003261504</v>
      </c>
    </row>
    <row r="482" spans="1:10" x14ac:dyDescent="0.2">
      <c r="A482" s="17">
        <v>18</v>
      </c>
      <c r="B482" s="53" t="s">
        <v>423</v>
      </c>
      <c r="C482" s="45" t="s">
        <v>83</v>
      </c>
      <c r="D482" s="45" t="s">
        <v>40</v>
      </c>
      <c r="E482" s="17">
        <v>8</v>
      </c>
      <c r="F482" s="16">
        <v>4.29</v>
      </c>
      <c r="G482" s="20">
        <v>20</v>
      </c>
      <c r="H482" s="41">
        <f t="shared" si="145"/>
        <v>5.1479999999999997</v>
      </c>
      <c r="I482" s="41"/>
      <c r="J482" s="69">
        <v>4607003261801</v>
      </c>
    </row>
    <row r="483" spans="1:10" x14ac:dyDescent="0.2">
      <c r="A483" s="17">
        <v>19</v>
      </c>
      <c r="B483" s="52" t="s">
        <v>398</v>
      </c>
      <c r="C483" s="45" t="s">
        <v>83</v>
      </c>
      <c r="D483" s="45" t="s">
        <v>40</v>
      </c>
      <c r="E483" s="17">
        <v>4</v>
      </c>
      <c r="F483" s="16">
        <v>7.25</v>
      </c>
      <c r="G483" s="20">
        <v>20</v>
      </c>
      <c r="H483" s="41">
        <f t="shared" si="145"/>
        <v>8.6999999999999993</v>
      </c>
      <c r="I483" s="41"/>
      <c r="J483" s="67">
        <v>4607003263027</v>
      </c>
    </row>
    <row r="484" spans="1:10" x14ac:dyDescent="0.2">
      <c r="A484" s="17">
        <v>20</v>
      </c>
      <c r="B484" s="3" t="s">
        <v>420</v>
      </c>
      <c r="C484" s="45" t="s">
        <v>83</v>
      </c>
      <c r="D484" s="45" t="s">
        <v>453</v>
      </c>
      <c r="E484" s="17">
        <v>6</v>
      </c>
      <c r="F484" s="16">
        <v>2.15</v>
      </c>
      <c r="G484" s="20">
        <v>20</v>
      </c>
      <c r="H484" s="41">
        <f t="shared" si="145"/>
        <v>2.5799999999999996</v>
      </c>
      <c r="I484" s="41"/>
      <c r="J484" s="69">
        <v>4607003263454</v>
      </c>
    </row>
    <row r="485" spans="1:10" x14ac:dyDescent="0.2">
      <c r="A485" s="17">
        <v>21</v>
      </c>
      <c r="B485" s="52" t="s">
        <v>396</v>
      </c>
      <c r="C485" s="45" t="s">
        <v>83</v>
      </c>
      <c r="D485" s="45" t="s">
        <v>40</v>
      </c>
      <c r="E485" s="17">
        <v>4</v>
      </c>
      <c r="F485" s="16">
        <v>5.39</v>
      </c>
      <c r="G485" s="20">
        <v>20</v>
      </c>
      <c r="H485" s="41">
        <f t="shared" si="145"/>
        <v>6.4679999999999991</v>
      </c>
      <c r="I485" s="41"/>
      <c r="J485" s="67">
        <v>4607003261429</v>
      </c>
    </row>
    <row r="486" spans="1:10" x14ac:dyDescent="0.2">
      <c r="A486" s="17">
        <v>22</v>
      </c>
      <c r="B486" s="53" t="s">
        <v>626</v>
      </c>
      <c r="C486" s="45" t="s">
        <v>83</v>
      </c>
      <c r="D486" s="45" t="s">
        <v>40</v>
      </c>
      <c r="E486" s="17">
        <v>15</v>
      </c>
      <c r="F486" s="16">
        <v>3.1</v>
      </c>
      <c r="G486" s="20">
        <v>20</v>
      </c>
      <c r="H486" s="41">
        <f t="shared" si="145"/>
        <v>3.7199999999999998</v>
      </c>
      <c r="I486" s="41"/>
      <c r="J486" s="69">
        <v>4607003262600</v>
      </c>
    </row>
    <row r="487" spans="1:10" x14ac:dyDescent="0.2">
      <c r="A487" s="17">
        <v>23</v>
      </c>
      <c r="B487" s="53" t="s">
        <v>518</v>
      </c>
      <c r="C487" s="45" t="s">
        <v>83</v>
      </c>
      <c r="D487" s="45" t="s">
        <v>40</v>
      </c>
      <c r="E487" s="17">
        <v>12</v>
      </c>
      <c r="F487" s="16">
        <v>2.4</v>
      </c>
      <c r="G487" s="20">
        <v>20</v>
      </c>
      <c r="H487" s="41">
        <f t="shared" si="145"/>
        <v>2.88</v>
      </c>
      <c r="I487" s="41"/>
      <c r="J487" s="69"/>
    </row>
    <row r="488" spans="1:10" x14ac:dyDescent="0.2">
      <c r="A488" s="17">
        <v>24</v>
      </c>
      <c r="B488" s="52" t="s">
        <v>397</v>
      </c>
      <c r="C488" s="45" t="s">
        <v>83</v>
      </c>
      <c r="D488" s="45" t="s">
        <v>40</v>
      </c>
      <c r="E488" s="17">
        <v>4</v>
      </c>
      <c r="F488" s="16">
        <v>5.39</v>
      </c>
      <c r="G488" s="20">
        <v>20</v>
      </c>
      <c r="H488" s="41">
        <f t="shared" si="145"/>
        <v>6.4679999999999991</v>
      </c>
      <c r="I488" s="41"/>
      <c r="J488" s="67">
        <v>4607003263003</v>
      </c>
    </row>
    <row r="489" spans="1:10" x14ac:dyDescent="0.2">
      <c r="A489" s="17">
        <v>25</v>
      </c>
      <c r="B489" s="36" t="s">
        <v>413</v>
      </c>
      <c r="C489" s="45" t="s">
        <v>83</v>
      </c>
      <c r="D489" s="45" t="s">
        <v>453</v>
      </c>
      <c r="E489" s="17">
        <v>12</v>
      </c>
      <c r="F489" s="16">
        <v>1.65</v>
      </c>
      <c r="G489" s="20">
        <v>20</v>
      </c>
      <c r="H489" s="41">
        <f t="shared" si="145"/>
        <v>1.9799999999999998</v>
      </c>
      <c r="I489" s="41"/>
      <c r="J489" s="68">
        <v>4607003263942</v>
      </c>
    </row>
    <row r="490" spans="1:10" x14ac:dyDescent="0.2">
      <c r="A490" s="17">
        <v>26</v>
      </c>
      <c r="B490" s="36" t="s">
        <v>412</v>
      </c>
      <c r="C490" s="45" t="s">
        <v>83</v>
      </c>
      <c r="D490" s="45" t="s">
        <v>453</v>
      </c>
      <c r="E490" s="17">
        <v>12</v>
      </c>
      <c r="F490" s="16">
        <v>1.65</v>
      </c>
      <c r="G490" s="20">
        <v>20</v>
      </c>
      <c r="H490" s="41">
        <f t="shared" si="145"/>
        <v>1.9799999999999998</v>
      </c>
      <c r="I490" s="41"/>
      <c r="J490" s="68">
        <v>4607003263959</v>
      </c>
    </row>
    <row r="491" spans="1:10" x14ac:dyDescent="0.2">
      <c r="A491" s="17">
        <v>27</v>
      </c>
      <c r="B491" s="36" t="s">
        <v>411</v>
      </c>
      <c r="C491" s="45" t="s">
        <v>83</v>
      </c>
      <c r="D491" s="45" t="s">
        <v>453</v>
      </c>
      <c r="E491" s="17">
        <v>12</v>
      </c>
      <c r="F491" s="16">
        <v>1.65</v>
      </c>
      <c r="G491" s="20">
        <v>20</v>
      </c>
      <c r="H491" s="41">
        <f t="shared" si="145"/>
        <v>1.9799999999999998</v>
      </c>
      <c r="I491" s="41"/>
      <c r="J491" s="68">
        <v>4607003263973</v>
      </c>
    </row>
    <row r="492" spans="1:10" x14ac:dyDescent="0.2">
      <c r="A492" s="17">
        <v>28</v>
      </c>
      <c r="B492" s="36" t="s">
        <v>410</v>
      </c>
      <c r="C492" s="45" t="s">
        <v>83</v>
      </c>
      <c r="D492" s="45" t="s">
        <v>40</v>
      </c>
      <c r="E492" s="17">
        <v>10</v>
      </c>
      <c r="F492" s="16">
        <v>4.5</v>
      </c>
      <c r="G492" s="20">
        <v>20</v>
      </c>
      <c r="H492" s="41">
        <f t="shared" si="145"/>
        <v>5.3999999999999995</v>
      </c>
      <c r="I492" s="41"/>
      <c r="J492" s="67">
        <v>4607003261467</v>
      </c>
    </row>
    <row r="493" spans="1:10" x14ac:dyDescent="0.2">
      <c r="A493" s="17">
        <v>29</v>
      </c>
      <c r="B493" s="3" t="s">
        <v>421</v>
      </c>
      <c r="C493" s="45" t="s">
        <v>83</v>
      </c>
      <c r="D493" s="45" t="s">
        <v>453</v>
      </c>
      <c r="E493" s="17">
        <v>6</v>
      </c>
      <c r="F493" s="16">
        <v>2.15</v>
      </c>
      <c r="G493" s="20">
        <v>20</v>
      </c>
      <c r="H493" s="41">
        <f t="shared" si="145"/>
        <v>2.5799999999999996</v>
      </c>
      <c r="I493" s="41"/>
      <c r="J493" s="69">
        <v>4607003263461</v>
      </c>
    </row>
    <row r="494" spans="1:10" x14ac:dyDescent="0.2">
      <c r="A494" s="17">
        <v>30</v>
      </c>
      <c r="B494" s="3" t="s">
        <v>416</v>
      </c>
      <c r="C494" s="45" t="s">
        <v>83</v>
      </c>
      <c r="D494" s="45" t="s">
        <v>453</v>
      </c>
      <c r="E494" s="17">
        <v>6</v>
      </c>
      <c r="F494" s="16">
        <v>1.85</v>
      </c>
      <c r="G494" s="20">
        <v>20</v>
      </c>
      <c r="H494" s="41">
        <f t="shared" si="145"/>
        <v>2.2200000000000002</v>
      </c>
      <c r="I494" s="41"/>
      <c r="J494" s="69">
        <v>4607003262877</v>
      </c>
    </row>
    <row r="495" spans="1:10" x14ac:dyDescent="0.2">
      <c r="A495" s="17">
        <v>31</v>
      </c>
      <c r="B495" s="82" t="s">
        <v>624</v>
      </c>
      <c r="C495" s="45" t="s">
        <v>83</v>
      </c>
      <c r="D495" s="45" t="s">
        <v>625</v>
      </c>
      <c r="E495" s="17">
        <v>8</v>
      </c>
      <c r="F495" s="16">
        <v>3.82</v>
      </c>
      <c r="G495" s="20">
        <v>20</v>
      </c>
      <c r="H495" s="41">
        <f t="shared" si="145"/>
        <v>4.5839999999999996</v>
      </c>
      <c r="I495" s="41"/>
      <c r="J495" s="81">
        <v>4607003262891</v>
      </c>
    </row>
    <row r="496" spans="1:10" x14ac:dyDescent="0.2">
      <c r="A496" s="17">
        <v>32</v>
      </c>
      <c r="B496" s="82" t="s">
        <v>621</v>
      </c>
      <c r="C496" s="45" t="s">
        <v>83</v>
      </c>
      <c r="D496" s="45" t="s">
        <v>625</v>
      </c>
      <c r="E496" s="17">
        <v>8</v>
      </c>
      <c r="F496" s="16">
        <v>3.82</v>
      </c>
      <c r="G496" s="20">
        <v>20</v>
      </c>
      <c r="H496" s="41">
        <f t="shared" si="145"/>
        <v>4.5839999999999996</v>
      </c>
      <c r="I496" s="41"/>
      <c r="J496" s="81">
        <v>4607003261306</v>
      </c>
    </row>
    <row r="497" spans="1:10" x14ac:dyDescent="0.2">
      <c r="A497" s="17">
        <v>33</v>
      </c>
      <c r="B497" s="82" t="s">
        <v>623</v>
      </c>
      <c r="C497" s="45" t="s">
        <v>83</v>
      </c>
      <c r="D497" s="45" t="s">
        <v>625</v>
      </c>
      <c r="E497" s="17">
        <v>8</v>
      </c>
      <c r="F497" s="16">
        <v>3.82</v>
      </c>
      <c r="G497" s="20">
        <v>20</v>
      </c>
      <c r="H497" s="41">
        <f t="shared" si="145"/>
        <v>4.5839999999999996</v>
      </c>
      <c r="I497" s="41"/>
      <c r="J497" s="81">
        <v>4607003261320</v>
      </c>
    </row>
    <row r="498" spans="1:10" x14ac:dyDescent="0.2">
      <c r="A498" s="17">
        <v>34</v>
      </c>
      <c r="B498" s="82" t="s">
        <v>622</v>
      </c>
      <c r="C498" s="45" t="s">
        <v>83</v>
      </c>
      <c r="D498" s="45" t="s">
        <v>625</v>
      </c>
      <c r="E498" s="17">
        <v>8</v>
      </c>
      <c r="F498" s="16">
        <v>3.82</v>
      </c>
      <c r="G498" s="20">
        <v>20</v>
      </c>
      <c r="H498" s="41">
        <f t="shared" si="145"/>
        <v>4.5839999999999996</v>
      </c>
      <c r="I498" s="41"/>
      <c r="J498" s="81">
        <v>4607003262976</v>
      </c>
    </row>
    <row r="499" spans="1:10" ht="24" x14ac:dyDescent="0.2">
      <c r="A499" s="17">
        <v>35</v>
      </c>
      <c r="B499" s="52" t="s">
        <v>627</v>
      </c>
      <c r="C499" s="45" t="s">
        <v>83</v>
      </c>
      <c r="D499" s="45" t="s">
        <v>453</v>
      </c>
      <c r="E499" s="17">
        <v>4</v>
      </c>
      <c r="F499" s="16">
        <v>1.7</v>
      </c>
      <c r="G499" s="20">
        <v>20</v>
      </c>
      <c r="H499" s="41">
        <f t="shared" si="145"/>
        <v>2.04</v>
      </c>
      <c r="I499" s="41"/>
      <c r="J499" s="67">
        <v>4607003263362</v>
      </c>
    </row>
    <row r="500" spans="1:10" x14ac:dyDescent="0.2">
      <c r="A500" s="17">
        <v>36</v>
      </c>
      <c r="B500" s="3" t="s">
        <v>418</v>
      </c>
      <c r="C500" s="45" t="s">
        <v>83</v>
      </c>
      <c r="D500" s="45" t="s">
        <v>453</v>
      </c>
      <c r="E500" s="17">
        <v>6</v>
      </c>
      <c r="F500" s="16">
        <v>2</v>
      </c>
      <c r="G500" s="20">
        <v>20</v>
      </c>
      <c r="H500" s="41">
        <f t="shared" si="145"/>
        <v>2.4</v>
      </c>
      <c r="I500" s="41"/>
      <c r="J500" s="69">
        <v>4607003263089</v>
      </c>
    </row>
    <row r="501" spans="1:10" x14ac:dyDescent="0.2">
      <c r="A501" s="17">
        <v>37</v>
      </c>
      <c r="B501" s="3" t="s">
        <v>417</v>
      </c>
      <c r="C501" s="45" t="s">
        <v>83</v>
      </c>
      <c r="D501" s="45" t="s">
        <v>453</v>
      </c>
      <c r="E501" s="17">
        <v>6</v>
      </c>
      <c r="F501" s="16">
        <v>2</v>
      </c>
      <c r="G501" s="20">
        <v>20</v>
      </c>
      <c r="H501" s="41">
        <f t="shared" si="145"/>
        <v>2.4</v>
      </c>
      <c r="I501" s="41"/>
      <c r="J501" s="69">
        <v>4607003263058</v>
      </c>
    </row>
    <row r="502" spans="1:10" x14ac:dyDescent="0.2">
      <c r="A502" s="17">
        <v>38</v>
      </c>
      <c r="B502" s="36" t="s">
        <v>405</v>
      </c>
      <c r="C502" s="45" t="s">
        <v>83</v>
      </c>
      <c r="D502" s="45" t="s">
        <v>40</v>
      </c>
      <c r="E502" s="17">
        <v>8</v>
      </c>
      <c r="F502" s="16">
        <v>4.4000000000000004</v>
      </c>
      <c r="G502" s="20">
        <v>20</v>
      </c>
      <c r="H502" s="41">
        <f t="shared" si="145"/>
        <v>5.28</v>
      </c>
      <c r="I502" s="41"/>
      <c r="J502" s="67">
        <v>4607003263232</v>
      </c>
    </row>
    <row r="503" spans="1:10" x14ac:dyDescent="0.2">
      <c r="A503" s="17">
        <v>39</v>
      </c>
      <c r="B503" s="36" t="s">
        <v>406</v>
      </c>
      <c r="C503" s="45" t="s">
        <v>83</v>
      </c>
      <c r="D503" s="45" t="s">
        <v>40</v>
      </c>
      <c r="E503" s="17">
        <v>8</v>
      </c>
      <c r="F503" s="16">
        <v>4.4000000000000004</v>
      </c>
      <c r="G503" s="20">
        <v>20</v>
      </c>
      <c r="H503" s="41">
        <f t="shared" si="145"/>
        <v>5.28</v>
      </c>
      <c r="I503" s="41"/>
      <c r="J503" s="67">
        <v>4607003260422</v>
      </c>
    </row>
    <row r="504" spans="1:10" x14ac:dyDescent="0.2">
      <c r="A504" s="17">
        <v>40</v>
      </c>
      <c r="B504" s="36" t="s">
        <v>466</v>
      </c>
      <c r="C504" s="45" t="s">
        <v>83</v>
      </c>
      <c r="D504" s="45" t="s">
        <v>164</v>
      </c>
      <c r="E504" s="17">
        <v>1</v>
      </c>
      <c r="F504" s="16">
        <v>43.5</v>
      </c>
      <c r="G504" s="20">
        <v>20</v>
      </c>
      <c r="H504" s="41">
        <f t="shared" si="145"/>
        <v>52.199999999999996</v>
      </c>
      <c r="I504" s="41"/>
      <c r="J504" s="67"/>
    </row>
    <row r="505" spans="1:10" x14ac:dyDescent="0.2">
      <c r="A505" s="17">
        <v>41</v>
      </c>
      <c r="B505" s="36" t="s">
        <v>408</v>
      </c>
      <c r="C505" s="45" t="s">
        <v>83</v>
      </c>
      <c r="D505" s="45" t="s">
        <v>453</v>
      </c>
      <c r="E505" s="17">
        <v>20</v>
      </c>
      <c r="F505" s="16">
        <v>1.65</v>
      </c>
      <c r="G505" s="20">
        <v>20</v>
      </c>
      <c r="H505" s="41">
        <f t="shared" si="145"/>
        <v>1.9799999999999998</v>
      </c>
      <c r="I505" s="41"/>
      <c r="J505" s="67">
        <v>4607003262662</v>
      </c>
    </row>
    <row r="506" spans="1:10" x14ac:dyDescent="0.2">
      <c r="A506" s="17">
        <v>42</v>
      </c>
      <c r="B506" s="36" t="s">
        <v>407</v>
      </c>
      <c r="C506" s="45" t="s">
        <v>83</v>
      </c>
      <c r="D506" s="45" t="s">
        <v>40</v>
      </c>
      <c r="E506" s="17">
        <v>15</v>
      </c>
      <c r="F506" s="16">
        <v>2.9</v>
      </c>
      <c r="G506" s="20">
        <v>20</v>
      </c>
      <c r="H506" s="41">
        <f t="shared" si="145"/>
        <v>3.48</v>
      </c>
      <c r="I506" s="41"/>
      <c r="J506" s="67">
        <v>4607003261139</v>
      </c>
    </row>
    <row r="507" spans="1:10" ht="14.25" customHeight="1" x14ac:dyDescent="0.2">
      <c r="A507" s="99" t="s">
        <v>583</v>
      </c>
      <c r="B507" s="100"/>
      <c r="C507" s="100"/>
      <c r="D507" s="100"/>
      <c r="E507" s="100"/>
      <c r="F507" s="100"/>
      <c r="G507" s="100"/>
      <c r="H507" s="100"/>
      <c r="I507" s="55"/>
      <c r="J507" s="20"/>
    </row>
    <row r="508" spans="1:10" x14ac:dyDescent="0.2">
      <c r="A508" s="17">
        <v>1</v>
      </c>
      <c r="B508" s="1" t="s">
        <v>584</v>
      </c>
      <c r="C508" s="45" t="s">
        <v>16</v>
      </c>
      <c r="D508" s="45" t="s">
        <v>588</v>
      </c>
      <c r="E508" s="17">
        <v>20</v>
      </c>
      <c r="F508" s="35">
        <v>23</v>
      </c>
      <c r="G508" s="20">
        <v>20</v>
      </c>
      <c r="H508" s="41">
        <f>F508*1.2</f>
        <v>27.599999999999998</v>
      </c>
      <c r="I508" s="41">
        <f>F508*2</f>
        <v>46</v>
      </c>
      <c r="J508" s="8"/>
    </row>
    <row r="509" spans="1:10" x14ac:dyDescent="0.2">
      <c r="A509" s="17">
        <v>2</v>
      </c>
      <c r="B509" s="1" t="s">
        <v>585</v>
      </c>
      <c r="C509" s="45" t="s">
        <v>16</v>
      </c>
      <c r="D509" s="45" t="s">
        <v>588</v>
      </c>
      <c r="E509" s="17">
        <v>20</v>
      </c>
      <c r="F509" s="35">
        <v>47</v>
      </c>
      <c r="G509" s="20">
        <v>20</v>
      </c>
      <c r="H509" s="41">
        <f t="shared" ref="H509:H511" si="146">F509*1.2</f>
        <v>56.4</v>
      </c>
      <c r="I509" s="41">
        <f>F509</f>
        <v>47</v>
      </c>
      <c r="J509" s="8"/>
    </row>
    <row r="510" spans="1:10" x14ac:dyDescent="0.2">
      <c r="A510" s="17">
        <v>3</v>
      </c>
      <c r="B510" s="1" t="s">
        <v>586</v>
      </c>
      <c r="C510" s="45" t="s">
        <v>16</v>
      </c>
      <c r="D510" s="45" t="s">
        <v>588</v>
      </c>
      <c r="E510" s="17">
        <v>20</v>
      </c>
      <c r="F510" s="35">
        <v>24</v>
      </c>
      <c r="G510" s="20">
        <v>20</v>
      </c>
      <c r="H510" s="41">
        <f t="shared" si="146"/>
        <v>28.799999999999997</v>
      </c>
      <c r="I510" s="41">
        <f t="shared" ref="I510" si="147">F510*2</f>
        <v>48</v>
      </c>
      <c r="J510" s="8"/>
    </row>
    <row r="511" spans="1:10" x14ac:dyDescent="0.2">
      <c r="A511" s="17">
        <v>4</v>
      </c>
      <c r="B511" s="1" t="s">
        <v>587</v>
      </c>
      <c r="C511" s="45" t="s">
        <v>16</v>
      </c>
      <c r="D511" s="45" t="s">
        <v>588</v>
      </c>
      <c r="E511" s="17">
        <v>20</v>
      </c>
      <c r="F511" s="35">
        <v>49</v>
      </c>
      <c r="G511" s="20">
        <v>20</v>
      </c>
      <c r="H511" s="41">
        <f t="shared" si="146"/>
        <v>58.8</v>
      </c>
      <c r="I511" s="41">
        <f>F511</f>
        <v>49</v>
      </c>
      <c r="J511" s="8"/>
    </row>
  </sheetData>
  <mergeCells count="34">
    <mergeCell ref="A507:H507"/>
    <mergeCell ref="A404:H404"/>
    <mergeCell ref="A464:H464"/>
    <mergeCell ref="A447:H447"/>
    <mergeCell ref="A308:H308"/>
    <mergeCell ref="A439:H439"/>
    <mergeCell ref="A435:H435"/>
    <mergeCell ref="A319:H319"/>
    <mergeCell ref="A327:H327"/>
    <mergeCell ref="A347:H347"/>
    <mergeCell ref="A358:H358"/>
    <mergeCell ref="A369:H369"/>
    <mergeCell ref="A344:H344"/>
    <mergeCell ref="A266:H266"/>
    <mergeCell ref="A3:H3"/>
    <mergeCell ref="A190:J190"/>
    <mergeCell ref="A105:H105"/>
    <mergeCell ref="A159:H159"/>
    <mergeCell ref="A257:H257"/>
    <mergeCell ref="A231:H231"/>
    <mergeCell ref="A218:H218"/>
    <mergeCell ref="A197:H197"/>
    <mergeCell ref="A214:H214"/>
    <mergeCell ref="A1:H1"/>
    <mergeCell ref="A41:H41"/>
    <mergeCell ref="A77:H77"/>
    <mergeCell ref="A81:H81"/>
    <mergeCell ref="A95:H95"/>
    <mergeCell ref="A39:H39"/>
    <mergeCell ref="A29:H29"/>
    <mergeCell ref="A36:H36"/>
    <mergeCell ref="A92:J92"/>
    <mergeCell ref="A24:H24"/>
    <mergeCell ref="A22:H22"/>
  </mergeCells>
  <phoneticPr fontId="14" type="noConversion"/>
  <pageMargins left="0" right="0.19685039370078741" top="0.39370078740157483" bottom="0.19685039370078741" header="0.19685039370078741" footer="0"/>
  <pageSetup paperSize="9" scale="83" fitToHeight="7" orientation="portrait" r:id="rId1"/>
  <headerFooter alignWithMargins="0">
    <oddHeader>&amp;C&amp;"Arial Cyr,полужирный"ООО "АлДиАл Групп"  +375-17-2110231  www.allfood.by&amp;R Лист&amp;P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jdanok</dc:creator>
  <cp:lastModifiedBy>User</cp:lastModifiedBy>
  <cp:lastPrinted>2025-10-08T06:52:03Z</cp:lastPrinted>
  <dcterms:created xsi:type="dcterms:W3CDTF">2006-06-21T08:45:26Z</dcterms:created>
  <dcterms:modified xsi:type="dcterms:W3CDTF">2026-03-09T11:42:40Z</dcterms:modified>
</cp:coreProperties>
</file>